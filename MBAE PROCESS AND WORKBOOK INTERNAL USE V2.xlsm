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https://cokeconsolidated-my.sharepoint.com/personal/naano6_ccbcc_com/Documents/Documentation - Customer/"/>
    </mc:Choice>
  </mc:AlternateContent>
  <xr:revisionPtr revIDLastSave="0" documentId="8_{3592EC37-E9F1-4DFC-8098-6F7CDCD465E8}" xr6:coauthVersionLast="47" xr6:coauthVersionMax="47" xr10:uidLastSave="{00000000-0000-0000-0000-000000000000}"/>
  <bookViews>
    <workbookView xWindow="-110" yWindow="-110" windowWidth="19420" windowHeight="10420" tabRatio="858" firstSheet="6" activeTab="6" xr2:uid="{00000000-000D-0000-FFFF-FFFF00000000}"/>
  </bookViews>
  <sheets>
    <sheet name="NOTICE OF EXPECTATIONS" sheetId="8" r:id="rId1"/>
    <sheet name="RESOURCES" sheetId="7" r:id="rId2"/>
    <sheet name="PAYER" sheetId="6" r:id="rId3"/>
    <sheet name="FIELD" sheetId="4" r:id="rId4"/>
    <sheet name="MBAE SOP" sheetId="30" r:id="rId5"/>
    <sheet name="LOAD" sheetId="9" r:id="rId6"/>
    <sheet name="NAME WORKSHEET" sheetId="16" r:id="rId7"/>
    <sheet name="STREET WORKSHEET" sheetId="13" r:id="rId8"/>
    <sheet name="CROSSDOCK" sheetId="18" r:id="rId9"/>
    <sheet name="VLOOKUP" sheetId="11" r:id="rId10"/>
    <sheet name="PARTNER" sheetId="24" r:id="rId11"/>
    <sheet name="TIME" sheetId="23" r:id="rId12"/>
    <sheet name="Adding GEO Data" sheetId="28" r:id="rId13"/>
    <sheet name="FINAL CHECKLIST" sheetId="26" r:id="rId14"/>
    <sheet name="NEW ACCTS" sheetId="10" r:id="rId15"/>
  </sheets>
  <definedNames>
    <definedName name="_xlnm._FilterDatabase" localSheetId="8" hidden="1">CROSSDOCK!$A$1:$C$1</definedName>
    <definedName name="_xlnm._FilterDatabase" localSheetId="3" hidden="1">FIELD!$A$25:$K$25</definedName>
    <definedName name="_xlnm._FilterDatabase" localSheetId="5" hidden="1">LOAD!$A$2:$CO$2</definedName>
    <definedName name="_xlnm._FilterDatabase" localSheetId="14" hidden="1">'NEW ACCTS'!$A$1:$E$1</definedName>
    <definedName name="_xlnm._FilterDatabase" localSheetId="7" hidden="1">'STREET WORKSHEET'!$A$1:$G$1</definedName>
    <definedName name="_xlnm._FilterDatabase" localSheetId="9" hidden="1">VLOOKUP!$A$1:$B$1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16" l="1"/>
  <c r="D4" i="16"/>
  <c r="D5" i="16"/>
  <c r="D6" i="16"/>
  <c r="D7" i="16"/>
  <c r="D8" i="16"/>
  <c r="D9" i="16"/>
  <c r="D10" i="16"/>
  <c r="D11" i="16"/>
  <c r="D12" i="16"/>
  <c r="D13" i="16"/>
  <c r="D14" i="16"/>
  <c r="D15" i="16"/>
  <c r="D16" i="16"/>
  <c r="D17" i="16"/>
  <c r="D18" i="16"/>
  <c r="D19" i="16"/>
  <c r="D20" i="16"/>
  <c r="D21" i="16"/>
  <c r="D2" i="16"/>
  <c r="C3" i="16"/>
  <c r="C4" i="16"/>
  <c r="C5" i="16"/>
  <c r="C6" i="16"/>
  <c r="C7" i="16"/>
  <c r="C8" i="16"/>
  <c r="C9" i="16"/>
  <c r="C10" i="16"/>
  <c r="C11" i="16"/>
  <c r="C12" i="16"/>
  <c r="C13" i="16"/>
  <c r="C14" i="16"/>
  <c r="C15" i="16"/>
  <c r="C16" i="16"/>
  <c r="C17" i="16"/>
  <c r="C18" i="16"/>
  <c r="C19" i="16"/>
  <c r="C20" i="16"/>
  <c r="C21" i="16"/>
  <c r="C2" i="16"/>
  <c r="I3" i="23"/>
  <c r="J3" i="23"/>
  <c r="K3" i="23"/>
  <c r="L3" i="23"/>
  <c r="M3" i="23"/>
  <c r="Y3" i="23" s="1"/>
  <c r="N3" i="23"/>
  <c r="Z3" i="23" s="1"/>
  <c r="O3" i="23"/>
  <c r="P3" i="23"/>
  <c r="Q3" i="23"/>
  <c r="R3" i="23"/>
  <c r="S3" i="23"/>
  <c r="AE3" i="23" s="1"/>
  <c r="T3" i="23"/>
  <c r="AF3" i="23" s="1"/>
  <c r="U3" i="23"/>
  <c r="V3" i="23"/>
  <c r="W3" i="23"/>
  <c r="X3" i="23"/>
  <c r="AA3" i="23"/>
  <c r="AB3" i="23"/>
  <c r="AC3" i="23"/>
  <c r="AD3" i="23"/>
  <c r="I4" i="23"/>
  <c r="J4" i="23"/>
  <c r="K4" i="23"/>
  <c r="L4" i="23"/>
  <c r="M4" i="23"/>
  <c r="Y4" i="23" s="1"/>
  <c r="N4" i="23"/>
  <c r="Z4" i="23" s="1"/>
  <c r="O4" i="23"/>
  <c r="P4" i="23"/>
  <c r="Q4" i="23"/>
  <c r="R4" i="23"/>
  <c r="S4" i="23"/>
  <c r="AE4" i="23" s="1"/>
  <c r="T4" i="23"/>
  <c r="AF4" i="23" s="1"/>
  <c r="U4" i="23"/>
  <c r="V4" i="23"/>
  <c r="W4" i="23"/>
  <c r="X4" i="23"/>
  <c r="AA4" i="23"/>
  <c r="AB4" i="23"/>
  <c r="AC4" i="23"/>
  <c r="AD4" i="23"/>
  <c r="I5" i="23"/>
  <c r="J5" i="23"/>
  <c r="K5" i="23"/>
  <c r="L5" i="23"/>
  <c r="M5" i="23"/>
  <c r="Y5" i="23" s="1"/>
  <c r="N5" i="23"/>
  <c r="Z5" i="23" s="1"/>
  <c r="O5" i="23"/>
  <c r="P5" i="23"/>
  <c r="Q5" i="23"/>
  <c r="R5" i="23"/>
  <c r="S5" i="23"/>
  <c r="AE5" i="23" s="1"/>
  <c r="T5" i="23"/>
  <c r="AF5" i="23" s="1"/>
  <c r="U5" i="23"/>
  <c r="V5" i="23"/>
  <c r="W5" i="23"/>
  <c r="X5" i="23"/>
  <c r="AA5" i="23"/>
  <c r="AB5" i="23"/>
  <c r="AC5" i="23"/>
  <c r="AD5" i="23"/>
  <c r="I6" i="23"/>
  <c r="J6" i="23"/>
  <c r="K6" i="23"/>
  <c r="L6" i="23"/>
  <c r="M6" i="23"/>
  <c r="Y6" i="23" s="1"/>
  <c r="N6" i="23"/>
  <c r="Z6" i="23" s="1"/>
  <c r="O6" i="23"/>
  <c r="P6" i="23"/>
  <c r="Q6" i="23"/>
  <c r="R6" i="23"/>
  <c r="S6" i="23"/>
  <c r="AE6" i="23" s="1"/>
  <c r="T6" i="23"/>
  <c r="AF6" i="23" s="1"/>
  <c r="U6" i="23"/>
  <c r="V6" i="23"/>
  <c r="W6" i="23"/>
  <c r="X6" i="23"/>
  <c r="AA6" i="23"/>
  <c r="AB6" i="23"/>
  <c r="AC6" i="23"/>
  <c r="AD6" i="23"/>
  <c r="I7" i="23"/>
  <c r="J7" i="23"/>
  <c r="K7" i="23"/>
  <c r="L7" i="23"/>
  <c r="M7" i="23"/>
  <c r="Y7" i="23" s="1"/>
  <c r="N7" i="23"/>
  <c r="Z7" i="23" s="1"/>
  <c r="O7" i="23"/>
  <c r="P7" i="23"/>
  <c r="Q7" i="23"/>
  <c r="R7" i="23"/>
  <c r="S7" i="23"/>
  <c r="AE7" i="23" s="1"/>
  <c r="T7" i="23"/>
  <c r="AF7" i="23" s="1"/>
  <c r="U7" i="23"/>
  <c r="V7" i="23"/>
  <c r="W7" i="23"/>
  <c r="X7" i="23"/>
  <c r="AA7" i="23"/>
  <c r="AB7" i="23"/>
  <c r="AC7" i="23"/>
  <c r="AD7" i="23"/>
  <c r="I8" i="23"/>
  <c r="J8" i="23"/>
  <c r="K8" i="23"/>
  <c r="L8" i="23"/>
  <c r="M8" i="23"/>
  <c r="Y8" i="23" s="1"/>
  <c r="N8" i="23"/>
  <c r="Z8" i="23" s="1"/>
  <c r="O8" i="23"/>
  <c r="P8" i="23"/>
  <c r="Q8" i="23"/>
  <c r="R8" i="23"/>
  <c r="S8" i="23"/>
  <c r="AE8" i="23" s="1"/>
  <c r="T8" i="23"/>
  <c r="AF8" i="23" s="1"/>
  <c r="U8" i="23"/>
  <c r="V8" i="23"/>
  <c r="W8" i="23"/>
  <c r="X8" i="23"/>
  <c r="AA8" i="23"/>
  <c r="AB8" i="23"/>
  <c r="AC8" i="23"/>
  <c r="AD8" i="23"/>
  <c r="I9" i="23"/>
  <c r="J9" i="23"/>
  <c r="K9" i="23"/>
  <c r="L9" i="23"/>
  <c r="M9" i="23"/>
  <c r="Y9" i="23" s="1"/>
  <c r="N9" i="23"/>
  <c r="Z9" i="23" s="1"/>
  <c r="O9" i="23"/>
  <c r="P9" i="23"/>
  <c r="Q9" i="23"/>
  <c r="R9" i="23"/>
  <c r="S9" i="23"/>
  <c r="AE9" i="23" s="1"/>
  <c r="T9" i="23"/>
  <c r="AF9" i="23" s="1"/>
  <c r="U9" i="23"/>
  <c r="V9" i="23"/>
  <c r="W9" i="23"/>
  <c r="X9" i="23"/>
  <c r="AA9" i="23"/>
  <c r="AB9" i="23"/>
  <c r="AC9" i="23"/>
  <c r="AD9" i="23"/>
  <c r="I10" i="23"/>
  <c r="J10" i="23"/>
  <c r="K10" i="23"/>
  <c r="L10" i="23"/>
  <c r="M10" i="23"/>
  <c r="Y10" i="23" s="1"/>
  <c r="N10" i="23"/>
  <c r="Z10" i="23" s="1"/>
  <c r="O10" i="23"/>
  <c r="P10" i="23"/>
  <c r="Q10" i="23"/>
  <c r="R10" i="23"/>
  <c r="S10" i="23"/>
  <c r="AE10" i="23" s="1"/>
  <c r="T10" i="23"/>
  <c r="AF10" i="23" s="1"/>
  <c r="U10" i="23"/>
  <c r="V10" i="23"/>
  <c r="W10" i="23"/>
  <c r="X10" i="23"/>
  <c r="AA10" i="23"/>
  <c r="AB10" i="23"/>
  <c r="AC10" i="23"/>
  <c r="AD10" i="23"/>
  <c r="I11" i="23"/>
  <c r="J11" i="23"/>
  <c r="K11" i="23"/>
  <c r="L11" i="23"/>
  <c r="M11" i="23"/>
  <c r="Y11" i="23" s="1"/>
  <c r="N11" i="23"/>
  <c r="Z11" i="23" s="1"/>
  <c r="O11" i="23"/>
  <c r="P11" i="23"/>
  <c r="Q11" i="23"/>
  <c r="R11" i="23"/>
  <c r="S11" i="23"/>
  <c r="AE11" i="23" s="1"/>
  <c r="T11" i="23"/>
  <c r="AF11" i="23" s="1"/>
  <c r="U11" i="23"/>
  <c r="V11" i="23"/>
  <c r="W11" i="23"/>
  <c r="X11" i="23"/>
  <c r="AA11" i="23"/>
  <c r="AB11" i="23"/>
  <c r="AC11" i="23"/>
  <c r="AD11" i="23"/>
  <c r="I12" i="23"/>
  <c r="J12" i="23"/>
  <c r="K12" i="23"/>
  <c r="L12" i="23"/>
  <c r="M12" i="23"/>
  <c r="Y12" i="23" s="1"/>
  <c r="N12" i="23"/>
  <c r="Z12" i="23" s="1"/>
  <c r="O12" i="23"/>
  <c r="P12" i="23"/>
  <c r="Q12" i="23"/>
  <c r="R12" i="23"/>
  <c r="S12" i="23"/>
  <c r="AE12" i="23" s="1"/>
  <c r="T12" i="23"/>
  <c r="AF12" i="23" s="1"/>
  <c r="U12" i="23"/>
  <c r="V12" i="23"/>
  <c r="W12" i="23"/>
  <c r="X12" i="23"/>
  <c r="AA12" i="23"/>
  <c r="AB12" i="23"/>
  <c r="AC12" i="23"/>
  <c r="AD12" i="23"/>
  <c r="I13" i="23"/>
  <c r="J13" i="23"/>
  <c r="K13" i="23"/>
  <c r="L13" i="23"/>
  <c r="M13" i="23"/>
  <c r="Y13" i="23" s="1"/>
  <c r="N13" i="23"/>
  <c r="Z13" i="23" s="1"/>
  <c r="O13" i="23"/>
  <c r="P13" i="23"/>
  <c r="Q13" i="23"/>
  <c r="R13" i="23"/>
  <c r="S13" i="23"/>
  <c r="AE13" i="23" s="1"/>
  <c r="T13" i="23"/>
  <c r="AF13" i="23" s="1"/>
  <c r="U13" i="23"/>
  <c r="V13" i="23"/>
  <c r="W13" i="23"/>
  <c r="X13" i="23"/>
  <c r="AA13" i="23"/>
  <c r="AB13" i="23"/>
  <c r="AC13" i="23"/>
  <c r="AD13" i="23"/>
  <c r="I14" i="23"/>
  <c r="J14" i="23"/>
  <c r="K14" i="23"/>
  <c r="L14" i="23"/>
  <c r="M14" i="23"/>
  <c r="Y14" i="23" s="1"/>
  <c r="N14" i="23"/>
  <c r="Z14" i="23" s="1"/>
  <c r="O14" i="23"/>
  <c r="P14" i="23"/>
  <c r="Q14" i="23"/>
  <c r="R14" i="23"/>
  <c r="S14" i="23"/>
  <c r="AE14" i="23" s="1"/>
  <c r="T14" i="23"/>
  <c r="AF14" i="23" s="1"/>
  <c r="U14" i="23"/>
  <c r="V14" i="23"/>
  <c r="W14" i="23"/>
  <c r="X14" i="23"/>
  <c r="AA14" i="23"/>
  <c r="AB14" i="23"/>
  <c r="AC14" i="23"/>
  <c r="AD14" i="23"/>
  <c r="I15" i="23"/>
  <c r="J15" i="23"/>
  <c r="K15" i="23"/>
  <c r="L15" i="23"/>
  <c r="M15" i="23"/>
  <c r="Y15" i="23" s="1"/>
  <c r="N15" i="23"/>
  <c r="Z15" i="23" s="1"/>
  <c r="O15" i="23"/>
  <c r="P15" i="23"/>
  <c r="Q15" i="23"/>
  <c r="R15" i="23"/>
  <c r="S15" i="23"/>
  <c r="AE15" i="23" s="1"/>
  <c r="T15" i="23"/>
  <c r="AF15" i="23" s="1"/>
  <c r="U15" i="23"/>
  <c r="V15" i="23"/>
  <c r="W15" i="23"/>
  <c r="X15" i="23"/>
  <c r="AA15" i="23"/>
  <c r="AB15" i="23"/>
  <c r="AC15" i="23"/>
  <c r="AD15" i="23"/>
  <c r="J13" i="13" l="1"/>
  <c r="K13" i="13"/>
  <c r="J14" i="13"/>
  <c r="K14" i="13"/>
  <c r="J15" i="13"/>
  <c r="K15" i="13"/>
  <c r="J16" i="13"/>
  <c r="K16" i="13"/>
  <c r="J17" i="13"/>
  <c r="K17" i="13"/>
  <c r="J18" i="13"/>
  <c r="K18" i="13"/>
  <c r="J19" i="13"/>
  <c r="K19" i="13"/>
  <c r="J20" i="13"/>
  <c r="K20" i="13"/>
  <c r="J21" i="13"/>
  <c r="K21" i="13"/>
  <c r="E11" i="16"/>
  <c r="E16" i="16"/>
  <c r="E17" i="16"/>
  <c r="E18" i="16"/>
  <c r="E19" i="16"/>
  <c r="E2" i="16"/>
  <c r="E3" i="16"/>
  <c r="E4" i="16"/>
  <c r="E5" i="16"/>
  <c r="E6" i="16"/>
  <c r="E7" i="16"/>
  <c r="E8" i="16"/>
  <c r="E9" i="16"/>
  <c r="E10" i="16"/>
  <c r="E12" i="16"/>
  <c r="E13" i="16"/>
  <c r="E14" i="16"/>
  <c r="E15" i="16"/>
  <c r="E20" i="16"/>
  <c r="E21" i="16"/>
  <c r="K3" i="13" l="1"/>
  <c r="K4" i="13"/>
  <c r="K5" i="13"/>
  <c r="K6" i="13"/>
  <c r="K7" i="13"/>
  <c r="K8" i="13"/>
  <c r="K9" i="13"/>
  <c r="K10" i="13"/>
  <c r="K11" i="13"/>
  <c r="K12" i="13"/>
  <c r="K2" i="13"/>
  <c r="J2" i="13"/>
  <c r="J3" i="13"/>
  <c r="J4" i="13"/>
  <c r="J5" i="13"/>
  <c r="J6" i="13"/>
  <c r="J7" i="13"/>
  <c r="J8" i="13"/>
  <c r="J9" i="13"/>
  <c r="J10" i="13"/>
  <c r="J11" i="13"/>
  <c r="J12" i="13"/>
</calcChain>
</file>

<file path=xl/sharedStrings.xml><?xml version="1.0" encoding="utf-8"?>
<sst xmlns="http://schemas.openxmlformats.org/spreadsheetml/2006/main" count="854" uniqueCount="563">
  <si>
    <t>KNA1-KUNNR</t>
  </si>
  <si>
    <t>KNB1-BUKRS</t>
  </si>
  <si>
    <t>KNVV-VKORG</t>
  </si>
  <si>
    <t>KNVV-VTWEG</t>
  </si>
  <si>
    <t>KNVV-SPART</t>
  </si>
  <si>
    <t>KNA1-LAND1</t>
  </si>
  <si>
    <t>KNA1-NAME1</t>
  </si>
  <si>
    <t>KNA1-SORTL</t>
  </si>
  <si>
    <t>KNA1-KTOKD</t>
  </si>
  <si>
    <t>KNA1-STRAS</t>
  </si>
  <si>
    <t>ADRC-HOUSE_NUM1</t>
  </si>
  <si>
    <t>KNA1-ORT02</t>
  </si>
  <si>
    <t>KNA1-PSTLZ</t>
  </si>
  <si>
    <t>KNA1-ORT01</t>
  </si>
  <si>
    <t>KNA1-REGIO</t>
  </si>
  <si>
    <t>KNA1-TXJCD</t>
  </si>
  <si>
    <t>KNA1-LZONE</t>
  </si>
  <si>
    <t>ADRC-LANGU</t>
  </si>
  <si>
    <t>KNA1-SPRAS</t>
  </si>
  <si>
    <t>KNA1-BEGRU</t>
  </si>
  <si>
    <t>KNA1-BRSCH</t>
  </si>
  <si>
    <t>KNA1-LOCCO</t>
  </si>
  <si>
    <t>KNA1-KUKLA</t>
  </si>
  <si>
    <t>KNA1-BRAN1</t>
  </si>
  <si>
    <t>KNA1-KATR3</t>
  </si>
  <si>
    <t>KNA1-KATR4</t>
  </si>
  <si>
    <t>KNA1-KATR7</t>
  </si>
  <si>
    <t>KNA1-KATR9</t>
  </si>
  <si>
    <t>KNA1-/SCL/TRADENAME</t>
  </si>
  <si>
    <t>KNA1-/SCL/GLCUST</t>
  </si>
  <si>
    <t>KNA1-/SCL/LQEXPDAT</t>
  </si>
  <si>
    <t>KNA1-/SCL/PRI_GROUP</t>
  </si>
  <si>
    <t>KNA1-/SCL/SEC_GROUP</t>
  </si>
  <si>
    <t>KNA1-/SCL/BAR_CODE</t>
  </si>
  <si>
    <t>KNA1-/SCL/STORE_STMP</t>
  </si>
  <si>
    <t>KNA1-/SCL/ACN_NUM</t>
  </si>
  <si>
    <t>KNA1-/SCL/PRAGEGP</t>
  </si>
  <si>
    <t>KNA1-/SCL/PRRACE</t>
  </si>
  <si>
    <t>KNA1-/SCL/PRSOCEC</t>
  </si>
  <si>
    <t>KNB1-AKONT</t>
  </si>
  <si>
    <t>KNB1-ZUAWA</t>
  </si>
  <si>
    <t>KNB1-ZTERM</t>
  </si>
  <si>
    <t>KNB1-TOGRU</t>
  </si>
  <si>
    <t>KNB1-XZVER</t>
  </si>
  <si>
    <t>KNB1-ZWELS</t>
  </si>
  <si>
    <t>KNB1-LOCKB</t>
  </si>
  <si>
    <t>KNB1-SREGL</t>
  </si>
  <si>
    <t>KNB1-EIKTO</t>
  </si>
  <si>
    <t>KNVV-VKBUR</t>
  </si>
  <si>
    <t>KNVV-VKGRP</t>
  </si>
  <si>
    <t>KNVV-EIKTO</t>
  </si>
  <si>
    <t>KNVV-WAERS</t>
  </si>
  <si>
    <t>KNVV-PVKSM</t>
  </si>
  <si>
    <t>KNVV-KALKS</t>
  </si>
  <si>
    <t>KNVV-PLTYP</t>
  </si>
  <si>
    <t>KNVV-KZAZU</t>
  </si>
  <si>
    <t>KNVV-VSBED</t>
  </si>
  <si>
    <t>KNVV-VWERK</t>
  </si>
  <si>
    <t>KNVV-KZTLF</t>
  </si>
  <si>
    <t>KNVV-PERFK</t>
  </si>
  <si>
    <t>KNVV-PERRL</t>
  </si>
  <si>
    <t>KNVV-ZTERM</t>
  </si>
  <si>
    <t>KNVV-KTGRD</t>
  </si>
  <si>
    <t>KNVV-KVGR1</t>
  </si>
  <si>
    <t>KNVV-KVGR3</t>
  </si>
  <si>
    <t>KNVV-/SCL/CB_IND</t>
  </si>
  <si>
    <t>KNVV-/SCL/PR_ORD_MTHD</t>
  </si>
  <si>
    <t>KNVV-/SCL/CUST_DELTYP</t>
  </si>
  <si>
    <t>KNVV-/SCL/AUTH_MATLST</t>
  </si>
  <si>
    <t>KNVV-/SCL/CUSTADPLAN</t>
  </si>
  <si>
    <t>KNVV-/SCL/EDI_PRO_ID</t>
  </si>
  <si>
    <t>KNVV-/SCL/DUNS_NUM</t>
  </si>
  <si>
    <t>KNVV-/SCL/EDI_VENDOR</t>
  </si>
  <si>
    <t>KNVV-/SCL/EDI_OUT_PROID</t>
  </si>
  <si>
    <t>KNVV-/SCL/DEX_COMM</t>
  </si>
  <si>
    <t>KNVV-/SCL/DEX_VERSION</t>
  </si>
  <si>
    <t>KNVV-/SCL/DEX_EMPTY</t>
  </si>
  <si>
    <t>KNVV-/LOT/CU_SPEC_LC</t>
  </si>
  <si>
    <t>KNVV-/LOT/PR_LDPROFID</t>
  </si>
  <si>
    <t>KNVV-/LOT/SC_COMBINE</t>
  </si>
  <si>
    <t>KNVV-/LOT/SC_MER_LEV</t>
  </si>
  <si>
    <t>KNVV-/LOT/SC_DIPRDR</t>
  </si>
  <si>
    <t>KNVV-/LOT/PO_IDKOP</t>
  </si>
  <si>
    <t>KNVV-/LOT/SC_DIST_MOD</t>
  </si>
  <si>
    <t>KNVV-/SCL/DEL_ALLOW</t>
  </si>
  <si>
    <t>KNVV-/SCL/EDI_MKTVEN</t>
  </si>
  <si>
    <t>KNVI-ALAND_01</t>
  </si>
  <si>
    <t>KNVI-TATYP_01</t>
  </si>
  <si>
    <t>KNVI-TAXKD_01</t>
  </si>
  <si>
    <t>Company Code</t>
  </si>
  <si>
    <t>Sales Organization</t>
  </si>
  <si>
    <t>Distribution Channel</t>
  </si>
  <si>
    <t>Division</t>
  </si>
  <si>
    <t>Country</t>
  </si>
  <si>
    <t xml:space="preserve">NAME1  </t>
  </si>
  <si>
    <t>Search term 1</t>
  </si>
  <si>
    <t>Account_group</t>
  </si>
  <si>
    <t>Street</t>
  </si>
  <si>
    <t>House number</t>
  </si>
  <si>
    <t>District (County)</t>
  </si>
  <si>
    <t>Postal Code</t>
  </si>
  <si>
    <t>City</t>
  </si>
  <si>
    <t>Region (State, Province, County)</t>
  </si>
  <si>
    <t>Tax Jurisdiction</t>
  </si>
  <si>
    <t>Transportation zone</t>
  </si>
  <si>
    <t>Language</t>
  </si>
  <si>
    <t>Notes</t>
  </si>
  <si>
    <t>Authorization</t>
  </si>
  <si>
    <t xml:space="preserve">Industry </t>
  </si>
  <si>
    <t xml:space="preserve">Location Code  </t>
  </si>
  <si>
    <t xml:space="preserve">Customer Classification </t>
  </si>
  <si>
    <t>Attribute 3 (Business Type)</t>
  </si>
  <si>
    <t>Attribute 4 (Bus Type Ext)</t>
  </si>
  <si>
    <t>Attribute 7 (Cus Subtrad Chan)</t>
  </si>
  <si>
    <t>Attribute 9 (Consumer Sub Trade Channel)</t>
  </si>
  <si>
    <t>Tradename</t>
  </si>
  <si>
    <t>Global Customer</t>
  </si>
  <si>
    <t>Primary Group</t>
  </si>
  <si>
    <t>Secondary Group</t>
  </si>
  <si>
    <t>Recon. account</t>
  </si>
  <si>
    <t>Sort key</t>
  </si>
  <si>
    <t>Terms of payment</t>
  </si>
  <si>
    <t>Tolerance group</t>
  </si>
  <si>
    <t>Payment history record</t>
  </si>
  <si>
    <t>Payment Methods</t>
  </si>
  <si>
    <t>Lockbox</t>
  </si>
  <si>
    <t>Selection rule</t>
  </si>
  <si>
    <t>Acct at cust.</t>
  </si>
  <si>
    <t>Sales office</t>
  </si>
  <si>
    <t>Sales group</t>
  </si>
  <si>
    <t>Currency</t>
  </si>
  <si>
    <t>PP cust proc</t>
  </si>
  <si>
    <t>Cust.pric.proc.</t>
  </si>
  <si>
    <t>Price List</t>
  </si>
  <si>
    <t>Order Combination Flag</t>
  </si>
  <si>
    <t>Shipping conditions</t>
  </si>
  <si>
    <t>Delivering Plant</t>
  </si>
  <si>
    <t>Partial Delivery per item</t>
  </si>
  <si>
    <t>Invoicing Dates</t>
  </si>
  <si>
    <t>Invoicing List Dates</t>
  </si>
  <si>
    <t>Account assignment group</t>
  </si>
  <si>
    <t>Customer Group 3 (Print Option)</t>
  </si>
  <si>
    <t>Preferred Ordering Method</t>
  </si>
  <si>
    <t>Customer Delivery Type</t>
  </si>
  <si>
    <t>Authorized Material List ID</t>
  </si>
  <si>
    <t xml:space="preserve">Customer Ad Planning </t>
  </si>
  <si>
    <t>Source Plant</t>
  </si>
  <si>
    <t>KNVV-/SCL/SRC_PLANT</t>
  </si>
  <si>
    <t>DUNS Number</t>
  </si>
  <si>
    <t>EDI Vendor Number</t>
  </si>
  <si>
    <t>DEX Comm Id</t>
  </si>
  <si>
    <t>DEX Version</t>
  </si>
  <si>
    <t>DEX Empty</t>
  </si>
  <si>
    <t>LEO Customer-Specific Loading Unit</t>
  </si>
  <si>
    <t>time profile</t>
  </si>
  <si>
    <t>Combination of several deliveries allowed</t>
  </si>
  <si>
    <t>Merchandising level</t>
  </si>
  <si>
    <t>Master Route</t>
  </si>
  <si>
    <t>Distribution Mode</t>
  </si>
  <si>
    <t>Tax Category</t>
  </si>
  <si>
    <t>Tax Classification</t>
  </si>
  <si>
    <t>NEW NAME</t>
  </si>
  <si>
    <t xml:space="preserve"> </t>
  </si>
  <si>
    <t>Please list the Payer Name and address below</t>
  </si>
  <si>
    <t>Owned By/Managed By Request Form</t>
  </si>
  <si>
    <t>Net Pricing Request (NPR) Form</t>
  </si>
  <si>
    <t xml:space="preserve">Distribution Maintenance Request Form </t>
  </si>
  <si>
    <t>Hierarchy Request Forms</t>
  </si>
  <si>
    <t>MDM Change Form – To update Contacts, POMs, Address, etc.</t>
  </si>
  <si>
    <t>Delete Request Forms</t>
  </si>
  <si>
    <t>QUICK LINKS TO FORMS</t>
  </si>
  <si>
    <t xml:space="preserve">ConaEquipment@cokeconsolidated.com </t>
  </si>
  <si>
    <t>CONTACT</t>
  </si>
  <si>
    <t>Move, Remove, or Add Equipment</t>
  </si>
  <si>
    <t>PRGM</t>
  </si>
  <si>
    <t>PURPOSE</t>
  </si>
  <si>
    <t>Department</t>
  </si>
  <si>
    <t>Equipment Services</t>
  </si>
  <si>
    <t>QUICK REFERENCE FOR DEPARTMENT COMMUNICATIONS</t>
  </si>
  <si>
    <t>Accounts Receivable</t>
  </si>
  <si>
    <t>MDM Customer Support</t>
  </si>
  <si>
    <t>Pricing</t>
  </si>
  <si>
    <t>MB Matrix</t>
  </si>
  <si>
    <t>MDM PROJECT LOG</t>
  </si>
  <si>
    <t>EDI</t>
  </si>
  <si>
    <t xml:space="preserve">Renee Howard, Jill </t>
  </si>
  <si>
    <t>MDM will send out email to Departments and CDM of notice of upcoming Acquisition with the current MB to be acquired by the new MB</t>
  </si>
  <si>
    <t>MDM will send out email to Departments once Acquisition is completed with full listing of new accounts.</t>
  </si>
  <si>
    <t>RD</t>
  </si>
  <si>
    <t>E</t>
  </si>
  <si>
    <t>NC</t>
  </si>
  <si>
    <t>(From column A)</t>
  </si>
  <si>
    <t xml:space="preserve">KNA1-/SCL/MNGBY                         </t>
  </si>
  <si>
    <t xml:space="preserve">KNA1-/SCL/OWNBY                         </t>
  </si>
  <si>
    <t>OLD CUSTOMER</t>
  </si>
  <si>
    <t>On Boarding Date (CLEAR THIS INFO)</t>
  </si>
  <si>
    <t xml:space="preserve">EDI Outbound Profile ID </t>
  </si>
  <si>
    <t>EDI Inbound Profile ID</t>
  </si>
  <si>
    <t>Collective Billing Indicator (Above POM)</t>
  </si>
  <si>
    <t>PO/DSD Indicator (Above Print Option)</t>
  </si>
  <si>
    <t>STORE STAMP FLAG</t>
  </si>
  <si>
    <t>DSD BARCODE FLAG</t>
  </si>
  <si>
    <t>Market Vender Number</t>
  </si>
  <si>
    <t>Material Number Default Pick Pallet Type</t>
  </si>
  <si>
    <t>DELIVERY FEE</t>
  </si>
  <si>
    <t xml:space="preserve">Managed By                              </t>
  </si>
  <si>
    <t xml:space="preserve">Owned By                                </t>
  </si>
  <si>
    <t>Pri Soc-Eco Grp</t>
  </si>
  <si>
    <t>Primary Race</t>
  </si>
  <si>
    <t>Primary Age Grp</t>
  </si>
  <si>
    <t>ACN</t>
  </si>
  <si>
    <t>Industry code 1 (BLANK)</t>
  </si>
  <si>
    <t>Language Key ( E )</t>
  </si>
  <si>
    <t>new</t>
  </si>
  <si>
    <t>old</t>
  </si>
  <si>
    <t>W</t>
  </si>
  <si>
    <t>HWY</t>
  </si>
  <si>
    <t>ST</t>
  </si>
  <si>
    <t>S</t>
  </si>
  <si>
    <t>MAIN</t>
  </si>
  <si>
    <t>CONCATENATE</t>
  </si>
  <si>
    <t>TEXT</t>
  </si>
  <si>
    <t>NAME</t>
  </si>
  <si>
    <t>CITY</t>
  </si>
  <si>
    <t>STATE</t>
  </si>
  <si>
    <t>NEW CUSTOMER</t>
  </si>
  <si>
    <t>YES/NO</t>
  </si>
  <si>
    <t>NO</t>
  </si>
  <si>
    <t>UNSURE</t>
  </si>
  <si>
    <t>Bob Bestwick</t>
  </si>
  <si>
    <t>Your current Pricing Rep</t>
  </si>
  <si>
    <t>MDM Support</t>
  </si>
  <si>
    <t>EXISTING</t>
  </si>
  <si>
    <t xml:space="preserve">NEW  </t>
  </si>
  <si>
    <t xml:space="preserve">ACCT # </t>
  </si>
  <si>
    <t xml:space="preserve">NEW STORE # </t>
  </si>
  <si>
    <t>ADDRESS</t>
  </si>
  <si>
    <t>CITY, STATE, ZIP</t>
  </si>
  <si>
    <t>Existing Payer Number</t>
  </si>
  <si>
    <t xml:space="preserve">SALES OFFICE    </t>
  </si>
  <si>
    <t xml:space="preserve"> TERRITORY</t>
  </si>
  <si>
    <t xml:space="preserve">CROSS DOCK </t>
  </si>
  <si>
    <t>CROSSDOCK</t>
  </si>
  <si>
    <t xml:space="preserve">C009 </t>
  </si>
  <si>
    <t>PIKEVILLE, KY</t>
  </si>
  <si>
    <t>C006/AC009</t>
  </si>
  <si>
    <t>C006</t>
  </si>
  <si>
    <t xml:space="preserve">C010 </t>
  </si>
  <si>
    <t>COOKEVILLE, TN</t>
  </si>
  <si>
    <t>C005/AC010</t>
  </si>
  <si>
    <t>C005</t>
  </si>
  <si>
    <t xml:space="preserve">C011 </t>
  </si>
  <si>
    <t>EVANSVILLE, IN</t>
  </si>
  <si>
    <t>C003/AC011</t>
  </si>
  <si>
    <t>C003</t>
  </si>
  <si>
    <t xml:space="preserve">C033 </t>
  </si>
  <si>
    <t>ZANESVILLE, OH</t>
  </si>
  <si>
    <t>C032/AC033</t>
  </si>
  <si>
    <t>C032</t>
  </si>
  <si>
    <t xml:space="preserve">C034 </t>
  </si>
  <si>
    <t>MANSFIELD, OH</t>
  </si>
  <si>
    <t>C073/AC034</t>
  </si>
  <si>
    <t>C073</t>
  </si>
  <si>
    <t>C037</t>
  </si>
  <si>
    <t>PORTSMOUTH, OH</t>
  </si>
  <si>
    <t>C006/AC037</t>
  </si>
  <si>
    <t>C039</t>
  </si>
  <si>
    <t>LIMA, OH</t>
  </si>
  <si>
    <t>C038/AC039</t>
  </si>
  <si>
    <t>C038</t>
  </si>
  <si>
    <t xml:space="preserve">C040 </t>
  </si>
  <si>
    <t>FINDLEY, OH</t>
  </si>
  <si>
    <t>C038/AC040</t>
  </si>
  <si>
    <t xml:space="preserve">C042 </t>
  </si>
  <si>
    <t>ANDERSON, IN</t>
  </si>
  <si>
    <t>C145/AC042</t>
  </si>
  <si>
    <t>C145</t>
  </si>
  <si>
    <t>C047</t>
  </si>
  <si>
    <t>BLOOMINGTON, IN</t>
  </si>
  <si>
    <t xml:space="preserve">C074 </t>
  </si>
  <si>
    <t>WILLOUGHBY, OH</t>
  </si>
  <si>
    <t>C073/AC074</t>
  </si>
  <si>
    <t>C232</t>
  </si>
  <si>
    <t>BECKLEY, WV</t>
  </si>
  <si>
    <t>C214/AC232</t>
  </si>
  <si>
    <t>C214</t>
  </si>
  <si>
    <t>C532</t>
  </si>
  <si>
    <r>
      <t>GREENVILLE, *</t>
    </r>
    <r>
      <rPr>
        <b/>
        <sz val="11"/>
        <rFont val="Calibri"/>
        <family val="2"/>
        <scheme val="minor"/>
      </rPr>
      <t>NC*</t>
    </r>
  </si>
  <si>
    <t>C066/AC532</t>
  </si>
  <si>
    <t>C066</t>
  </si>
  <si>
    <t>OB420000008206</t>
  </si>
  <si>
    <t>MB420000009604</t>
  </si>
  <si>
    <t>B3645</t>
  </si>
  <si>
    <t>4200</t>
  </si>
  <si>
    <t>Z1</t>
  </si>
  <si>
    <t>Z0</t>
  </si>
  <si>
    <t>US</t>
  </si>
  <si>
    <t>Z001</t>
  </si>
  <si>
    <t>0000000001</t>
  </si>
  <si>
    <t>EN</t>
  </si>
  <si>
    <t>0110</t>
  </si>
  <si>
    <t>99</t>
  </si>
  <si>
    <t/>
  </si>
  <si>
    <t>01</t>
  </si>
  <si>
    <t>1</t>
  </si>
  <si>
    <t>105</t>
  </si>
  <si>
    <t>99999</t>
  </si>
  <si>
    <t>9999999</t>
  </si>
  <si>
    <t>20</t>
  </si>
  <si>
    <t>30</t>
  </si>
  <si>
    <t>CC20</t>
  </si>
  <si>
    <t>115101000</t>
  </si>
  <si>
    <t>000</t>
  </si>
  <si>
    <t>RS50</t>
  </si>
  <si>
    <t>X</t>
  </si>
  <si>
    <t>C</t>
  </si>
  <si>
    <t>602937</t>
  </si>
  <si>
    <t>C00</t>
  </si>
  <si>
    <t>USD</t>
  </si>
  <si>
    <t>A</t>
  </si>
  <si>
    <t>02</t>
  </si>
  <si>
    <t>B</t>
  </si>
  <si>
    <t>05</t>
  </si>
  <si>
    <t>SREP</t>
  </si>
  <si>
    <t>CH SMALL STORE</t>
  </si>
  <si>
    <t>00</t>
  </si>
  <si>
    <t>UTXJ</t>
  </si>
  <si>
    <t>500886434</t>
  </si>
  <si>
    <t>HAMPTON</t>
  </si>
  <si>
    <t>29924-0615</t>
  </si>
  <si>
    <t>SC</t>
  </si>
  <si>
    <t>4104907700</t>
  </si>
  <si>
    <t>1909175</t>
  </si>
  <si>
    <t>N0074</t>
  </si>
  <si>
    <t>Z20</t>
  </si>
  <si>
    <t>C416</t>
  </si>
  <si>
    <t>9</t>
  </si>
  <si>
    <t>3</t>
  </si>
  <si>
    <t>253</t>
  </si>
  <si>
    <t>SL</t>
  </si>
  <si>
    <t>500888442</t>
  </si>
  <si>
    <t>YEMASSEE</t>
  </si>
  <si>
    <t>1822661</t>
  </si>
  <si>
    <t>500888446</t>
  </si>
  <si>
    <t>ESTILL</t>
  </si>
  <si>
    <t>1819193</t>
  </si>
  <si>
    <t>602015199</t>
  </si>
  <si>
    <t>SAINT GEORGE</t>
  </si>
  <si>
    <t>1807807</t>
  </si>
  <si>
    <t>602336042</t>
  </si>
  <si>
    <t>KINSTON</t>
  </si>
  <si>
    <t>4784329</t>
  </si>
  <si>
    <t>602345736</t>
  </si>
  <si>
    <t>ERNUL</t>
  </si>
  <si>
    <t>7260305</t>
  </si>
  <si>
    <t>602346842</t>
  </si>
  <si>
    <t>DOVER</t>
  </si>
  <si>
    <t>2008148</t>
  </si>
  <si>
    <t>602346941</t>
  </si>
  <si>
    <t>1295259</t>
  </si>
  <si>
    <t>602346961</t>
  </si>
  <si>
    <t>LA GRANGE</t>
  </si>
  <si>
    <t>1299320</t>
  </si>
  <si>
    <t>602362086</t>
  </si>
  <si>
    <t>NEW BERN</t>
  </si>
  <si>
    <t>1180728</t>
  </si>
  <si>
    <t>602403663</t>
  </si>
  <si>
    <t>BARNWELL</t>
  </si>
  <si>
    <t>9152895</t>
  </si>
  <si>
    <t>602403668</t>
  </si>
  <si>
    <t>COLUMBIA</t>
  </si>
  <si>
    <t>2124846</t>
  </si>
  <si>
    <t>602403681</t>
  </si>
  <si>
    <t>CHAPIN</t>
  </si>
  <si>
    <t>1518452</t>
  </si>
  <si>
    <t>602403684</t>
  </si>
  <si>
    <t>DENMARK</t>
  </si>
  <si>
    <t>1772463</t>
  </si>
  <si>
    <t>602403688</t>
  </si>
  <si>
    <t>1708359</t>
  </si>
  <si>
    <t>602403701</t>
  </si>
  <si>
    <t>NEW ELLENTON</t>
  </si>
  <si>
    <t>3621826</t>
  </si>
  <si>
    <t>602403714</t>
  </si>
  <si>
    <t>1714650</t>
  </si>
  <si>
    <t>602403720</t>
  </si>
  <si>
    <t>SWANSEA</t>
  </si>
  <si>
    <t>7734390</t>
  </si>
  <si>
    <t>602403733</t>
  </si>
  <si>
    <t>2125660</t>
  </si>
  <si>
    <t>602403707</t>
  </si>
  <si>
    <t>GASTON</t>
  </si>
  <si>
    <t>1192528</t>
  </si>
  <si>
    <t>Pops</t>
  </si>
  <si>
    <t>Pop`s</t>
  </si>
  <si>
    <t>POPS #0321</t>
  </si>
  <si>
    <t>POPS #0323</t>
  </si>
  <si>
    <t>POPS #0322</t>
  </si>
  <si>
    <t>POPS #0308</t>
  </si>
  <si>
    <t>POPS #0801</t>
  </si>
  <si>
    <t>POPS #0806</t>
  </si>
  <si>
    <t>POPS #0804</t>
  </si>
  <si>
    <t>POPS #0805</t>
  </si>
  <si>
    <t>POPS #0803</t>
  </si>
  <si>
    <t>POPS #0802</t>
  </si>
  <si>
    <t>POPS #0317</t>
  </si>
  <si>
    <t>POPS #0318</t>
  </si>
  <si>
    <t>POPS #0324</t>
  </si>
  <si>
    <t>POPS #0302</t>
  </si>
  <si>
    <t>POPS #0311</t>
  </si>
  <si>
    <t>POPS #0305</t>
  </si>
  <si>
    <t>POPS #0309</t>
  </si>
  <si>
    <t>POPS #0310</t>
  </si>
  <si>
    <t>POPS #0315</t>
  </si>
  <si>
    <t>POPS #0319</t>
  </si>
  <si>
    <t>0321</t>
  </si>
  <si>
    <t>ELM</t>
  </si>
  <si>
    <t>POINT</t>
  </si>
  <si>
    <t>SOUTH</t>
  </si>
  <si>
    <t>DR</t>
  </si>
  <si>
    <t>RAILROAD</t>
  </si>
  <si>
    <t>AVE</t>
  </si>
  <si>
    <t>N</t>
  </si>
  <si>
    <t>JIM</t>
  </si>
  <si>
    <t>BILTON</t>
  </si>
  <si>
    <t>BLVD</t>
  </si>
  <si>
    <t>NEW</t>
  </si>
  <si>
    <t>BERN</t>
  </si>
  <si>
    <t>HIGHWAY</t>
  </si>
  <si>
    <t>GREENVILLE</t>
  </si>
  <si>
    <t>GLENBURNIE</t>
  </si>
  <si>
    <t>JACKSON</t>
  </si>
  <si>
    <t>PINEY</t>
  </si>
  <si>
    <t>GROVE</t>
  </si>
  <si>
    <t>WESSINGER</t>
  </si>
  <si>
    <t>HERITAGE</t>
  </si>
  <si>
    <t>DUNBARTON</t>
  </si>
  <si>
    <t>1ST</t>
  </si>
  <si>
    <t>BLOSSOM</t>
  </si>
  <si>
    <t xml:space="preserve">ELM ST W      </t>
  </si>
  <si>
    <t>0501459574</t>
  </si>
  <si>
    <t>0501459675</t>
  </si>
  <si>
    <t>0501459677</t>
  </si>
  <si>
    <t>0501459678</t>
  </si>
  <si>
    <t>0501459679</t>
  </si>
  <si>
    <t>0501459680</t>
  </si>
  <si>
    <t>0501459681</t>
  </si>
  <si>
    <t>0501459682</t>
  </si>
  <si>
    <t>0501459683</t>
  </si>
  <si>
    <t>0501459575</t>
  </si>
  <si>
    <t>0501459576</t>
  </si>
  <si>
    <t>0501459577</t>
  </si>
  <si>
    <t>0501459578</t>
  </si>
  <si>
    <t>0501459579</t>
  </si>
  <si>
    <t>0501459580</t>
  </si>
  <si>
    <t>0501459671</t>
  </si>
  <si>
    <t>0501459672</t>
  </si>
  <si>
    <t>0501459673</t>
  </si>
  <si>
    <t>0501459674</t>
  </si>
  <si>
    <t>0501459676</t>
  </si>
  <si>
    <t xml:space="preserve">ACN </t>
  </si>
  <si>
    <t>000000</t>
  </si>
  <si>
    <t>170000</t>
  </si>
  <si>
    <t>080000</t>
  </si>
  <si>
    <t>/</t>
  </si>
  <si>
    <t>Z8</t>
  </si>
  <si>
    <t>DELIVERY TIMES</t>
  </si>
  <si>
    <t>KNVA-SOBI2</t>
  </si>
  <si>
    <t>KNVA-SOAB2</t>
  </si>
  <si>
    <t>KNVA-SOBI1</t>
  </si>
  <si>
    <t>KNVA-SOAB1</t>
  </si>
  <si>
    <t>KNVA-SABI2</t>
  </si>
  <si>
    <t>KNVA-SAAB2</t>
  </si>
  <si>
    <t>KNVA-SABI1</t>
  </si>
  <si>
    <t>KNVA-SAAB1</t>
  </si>
  <si>
    <t>KNVA-FRBI2</t>
  </si>
  <si>
    <t>KNVA-FRAB2</t>
  </si>
  <si>
    <t>KNVA-FRBI1</t>
  </si>
  <si>
    <t>KNVA-FRAB1</t>
  </si>
  <si>
    <t>KNVA-DOBI2</t>
  </si>
  <si>
    <t>KNVA-DOAB2</t>
  </si>
  <si>
    <t>KNVA-DOBI1</t>
  </si>
  <si>
    <t>KNVA-DOAB1</t>
  </si>
  <si>
    <t>KNVA-MIBI2</t>
  </si>
  <si>
    <t>KNVA-MIAB2</t>
  </si>
  <si>
    <t>KNVA-MIBI1</t>
  </si>
  <si>
    <t>KNVA-MIAB1</t>
  </si>
  <si>
    <t>KNVA-DIBI2</t>
  </si>
  <si>
    <t>KNVA-DIAB2</t>
  </si>
  <si>
    <t>KNVA-DIBI1</t>
  </si>
  <si>
    <t>KNVA-DIAB1</t>
  </si>
  <si>
    <t>KNVA-MOBI2</t>
  </si>
  <si>
    <t>KNVA-MOAB2</t>
  </si>
  <si>
    <t>KNVA-MOBI1</t>
  </si>
  <si>
    <t>KNVA-MOAB1</t>
  </si>
  <si>
    <t>KNVA-WANID</t>
  </si>
  <si>
    <t>KNVA-KNFAK</t>
  </si>
  <si>
    <t>KNVA-ABLAD</t>
  </si>
  <si>
    <t>KNVA-KUNNR</t>
  </si>
  <si>
    <t>Sunday</t>
  </si>
  <si>
    <t>Saturday</t>
  </si>
  <si>
    <t>Friday</t>
  </si>
  <si>
    <t>Thursday</t>
  </si>
  <si>
    <t>Wednesday</t>
  </si>
  <si>
    <t>Tuesday</t>
  </si>
  <si>
    <t>Monday</t>
  </si>
  <si>
    <t>Goods rec.hours</t>
  </si>
  <si>
    <t>Cust.calendar</t>
  </si>
  <si>
    <t>Unloading Point</t>
  </si>
  <si>
    <t>Customer</t>
  </si>
  <si>
    <t>KNVP-OLDPARTNER</t>
  </si>
  <si>
    <t>KNVP-NEWPARTNER</t>
  </si>
  <si>
    <t>KNVP-ACTION</t>
  </si>
  <si>
    <t>KNVP-PARVW</t>
  </si>
  <si>
    <t>KNVP-SPART</t>
  </si>
  <si>
    <t>KNVP-VTWEG</t>
  </si>
  <si>
    <t>KNVP-VKORG</t>
  </si>
  <si>
    <t>KNVP-KUNNR</t>
  </si>
  <si>
    <t>Old Partner</t>
  </si>
  <si>
    <t>New Partner</t>
  </si>
  <si>
    <t>Action</t>
  </si>
  <si>
    <t>Partner Function</t>
  </si>
  <si>
    <t>Dist Channel</t>
  </si>
  <si>
    <t>Sales Org</t>
  </si>
  <si>
    <t>Cust Number</t>
  </si>
  <si>
    <t>NEW ACCOUNTS NEED:</t>
  </si>
  <si>
    <t>REMEMBER WHEN CREATING TEMPLATE:</t>
  </si>
  <si>
    <t>You can also right click over document, select DOCUMENT OBJECT&gt;OPEN and it will open in a separate Word Doc</t>
  </si>
  <si>
    <t>Double click to open documentation</t>
  </si>
  <si>
    <t xml:space="preserve">5. You can just close the screen, there is no save button as it is not necessary, the updates are automatically saved to the accounts. </t>
  </si>
  <si>
    <t>4. This runs trilium to populate the GEO Codes, you will see a green check appear beside each account and you will get a status notification at the bottom of the SAP screen confirming account changes.</t>
  </si>
  <si>
    <t>3. Click the select icon in the top left corner of the data screen, then click on the Geocoding button.</t>
  </si>
  <si>
    <t>2. Enter 4200 in the  Sales Org box and add all the customer numbers you need to update the GEO code and click the execute button.</t>
  </si>
  <si>
    <t>1. Go to SAP and open the Geocoding Report Tcode</t>
  </si>
  <si>
    <r>
      <t xml:space="preserve">CHECKLIST </t>
    </r>
    <r>
      <rPr>
        <b/>
        <sz val="12"/>
        <color rgb="FF002060"/>
        <rFont val="Calibri"/>
        <family val="2"/>
        <scheme val="minor"/>
      </rPr>
      <t>Note: Generic values will only be used when the existing accounts are missing values in these fields</t>
    </r>
  </si>
  <si>
    <t>Have you contacted MDM Customer Support to inform them of the upcoming acquisition?</t>
  </si>
  <si>
    <t>Do the existing accounts have ACNs associated with them? Are they AGENCY customers?</t>
  </si>
  <si>
    <t>VALUE</t>
  </si>
  <si>
    <r>
      <t xml:space="preserve">Please provide the </t>
    </r>
    <r>
      <rPr>
        <b/>
        <sz val="12"/>
        <color rgb="FFFF0000"/>
        <rFont val="Calibri"/>
        <family val="2"/>
        <scheme val="minor"/>
      </rPr>
      <t xml:space="preserve">GO LIVE </t>
    </r>
    <r>
      <rPr>
        <sz val="12"/>
        <rFont val="Calibri"/>
        <family val="2"/>
        <scheme val="minor"/>
      </rPr>
      <t>date in the VALUE column. This is the date that the first location will officially assume the new ownership.</t>
    </r>
  </si>
  <si>
    <t>Do the existing accounts have EDI information associated with them? (i.e. Inbound/Outbound EDI Profiles) Please provide the existed EDI Inbound/Outbound in the VALUE column.</t>
  </si>
  <si>
    <t>Do you need a PAYER created? (If YES, please fill out the PAYER tab. If NO, please supply payer # in the PAYER tab. If no Payer is to be used, after answering NO, no further action needed.)</t>
  </si>
  <si>
    <t>Will the new accounts have a Primary Group associated with them? Provide PG in VALUE column.(If not specified, A9999 will be used)</t>
  </si>
  <si>
    <t>Will the new accounts have a specific Owned By? Please provide OB in VALUE column. (Generic OB420000000001 will be used if answering NO)</t>
  </si>
  <si>
    <t xml:space="preserve">Will the new accounts need a new Managed By? If YES, please submit new MB request ASAP. (Link found in RESOURCES TAB) If you are using an existing MB, answer NO and provide the MB in the VALUE column. </t>
  </si>
  <si>
    <t>Will the new accounts have a customer specific AML? If YES, please provide AML in VALUE column. (Super Channel AMLS will be defaulted if not specified)</t>
  </si>
  <si>
    <t>Will the new accounts have a Secondary Group associated with them? Provide SG in VALUE column.(If not specified, the field will remain blank)</t>
  </si>
  <si>
    <t>Will the new accounts have a Trade Name associated with them? Provide TN number in VALUE column.(If not specified, 99999 will be used)</t>
  </si>
  <si>
    <t>CALL OUTS</t>
  </si>
  <si>
    <t>Please communicate with the field to NOT use the new account until it specified date(s) go live</t>
  </si>
  <si>
    <t>Send Resale Cerificate to AR(Richard Lanier can assist with any questions)</t>
  </si>
  <si>
    <t>Contact CMA Coordinator for funding (if applicable)</t>
  </si>
  <si>
    <t>Contact Pricing Coordinator for awareness (should be done early in process)</t>
  </si>
  <si>
    <t>Contact PRMG Coordinator for awareness</t>
  </si>
  <si>
    <t>Transfer any equipment to new account numbers.</t>
  </si>
  <si>
    <t xml:space="preserve">YES </t>
  </si>
  <si>
    <t>GO LIVE DATE:</t>
  </si>
  <si>
    <t>Will the new accounts require EDI information? If yes, what will be the EDI Outbound/Inbound profile for the new accounts?  Please provide all the EDI information you are aware of in the VALUE column, we will review and confirm the values you provide.</t>
  </si>
  <si>
    <t>EXAMPLE</t>
  </si>
  <si>
    <t>RESTRUCTURED ADDY</t>
  </si>
  <si>
    <t>Pops  Bar</t>
  </si>
  <si>
    <t>ENTER STORE #</t>
  </si>
  <si>
    <t>AUTO POPULATES</t>
  </si>
  <si>
    <t>ENTER CUST NAME (REMOVE ANY SPECIAL CHARACTERS: $%#@&amp;;')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</si>
</sst>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h:mm:ss;@"/>
  </numFmts>
  <fonts count="45" x14ac:knownFonts="1">
    <font>
      <sz val="11"/>
      <color theme="1"/>
      <name val="Calibri"/>
      <family val="2"/>
      <scheme val="minor"/>
    </font>
    <font>
      <sz val="10"/>
      <color theme="1"/>
      <name val="Gisha"/>
      <family val="2"/>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1"/>
      <color rgb="FF9C5700"/>
      <name val="Calibri"/>
      <family val="2"/>
      <scheme val="minor"/>
    </font>
    <font>
      <b/>
      <u/>
      <sz val="16"/>
      <color theme="1"/>
      <name val="Calibri"/>
      <family val="2"/>
      <scheme val="minor"/>
    </font>
    <font>
      <sz val="11"/>
      <color rgb="FF000000"/>
      <name val="Calibri"/>
      <family val="2"/>
    </font>
    <font>
      <sz val="14"/>
      <color theme="1"/>
      <name val="Calibri"/>
      <family val="2"/>
      <scheme val="minor"/>
    </font>
    <font>
      <b/>
      <sz val="14"/>
      <color rgb="FFFF0000"/>
      <name val="Calibri"/>
      <family val="2"/>
      <scheme val="minor"/>
    </font>
    <font>
      <u/>
      <sz val="11"/>
      <color theme="10"/>
      <name val="Calibri"/>
      <family val="2"/>
      <scheme val="minor"/>
    </font>
    <font>
      <b/>
      <u/>
      <sz val="16"/>
      <color rgb="FFC00000"/>
      <name val="Calibri"/>
      <family val="2"/>
      <scheme val="minor"/>
    </font>
    <font>
      <sz val="16"/>
      <color theme="5" tint="-0.499984740745262"/>
      <name val="Calibri"/>
      <family val="2"/>
      <scheme val="minor"/>
    </font>
    <font>
      <b/>
      <sz val="16"/>
      <color theme="5" tint="-0.499984740745262"/>
      <name val="Calibri"/>
      <family val="2"/>
      <scheme val="minor"/>
    </font>
    <font>
      <sz val="11"/>
      <color theme="1"/>
      <name val="Calibri"/>
      <family val="2"/>
    </font>
    <font>
      <sz val="10"/>
      <name val="Calibri"/>
      <family val="2"/>
      <scheme val="minor"/>
    </font>
    <font>
      <b/>
      <sz val="11"/>
      <name val="Calibri"/>
      <family val="2"/>
      <scheme val="minor"/>
    </font>
    <font>
      <b/>
      <sz val="11"/>
      <color theme="7" tint="0.79998168889431442"/>
      <name val="Calibri"/>
      <family val="2"/>
    </font>
    <font>
      <b/>
      <sz val="11"/>
      <color theme="6" tint="-0.499984740745262"/>
      <name val="Calibri"/>
      <family val="2"/>
      <scheme val="minor"/>
    </font>
    <font>
      <b/>
      <sz val="11"/>
      <color theme="8" tint="0.79998168889431442"/>
      <name val="Calibri"/>
      <family val="2"/>
      <scheme val="minor"/>
    </font>
    <font>
      <b/>
      <sz val="8"/>
      <color theme="0"/>
      <name val="Calibri"/>
      <family val="2"/>
      <scheme val="minor"/>
    </font>
    <font>
      <sz val="11"/>
      <name val="Calibri"/>
      <family val="2"/>
      <scheme val="minor"/>
    </font>
    <font>
      <sz val="8"/>
      <name val="Calibri"/>
      <family val="2"/>
      <scheme val="minor"/>
    </font>
    <font>
      <sz val="8"/>
      <color rgb="FF000000"/>
      <name val="Segoe UI"/>
      <family val="2"/>
    </font>
    <font>
      <b/>
      <sz val="12"/>
      <color rgb="FF002060"/>
      <name val="Calibri"/>
      <family val="2"/>
      <scheme val="minor"/>
    </font>
    <font>
      <sz val="12"/>
      <name val="Calibri"/>
      <family val="2"/>
      <scheme val="minor"/>
    </font>
    <font>
      <b/>
      <sz val="12"/>
      <color rgb="FFFF0000"/>
      <name val="Calibri"/>
      <family val="2"/>
      <scheme val="minor"/>
    </font>
    <font>
      <sz val="14"/>
      <name val="Calibri"/>
      <family val="2"/>
      <scheme val="minor"/>
    </font>
    <font>
      <b/>
      <sz val="22"/>
      <color theme="1"/>
      <name val="Calibri"/>
      <family val="2"/>
      <scheme val="minor"/>
    </font>
    <font>
      <b/>
      <sz val="11"/>
      <color theme="1" tint="-0.249977111117893"/>
      <name val="Calibri"/>
      <family val="2"/>
      <scheme val="minor"/>
    </font>
  </fonts>
  <fills count="6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indexed="43"/>
        <bgColor indexed="64"/>
      </patternFill>
    </fill>
    <fill>
      <patternFill patternType="solid">
        <fgColor theme="1"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rgb="FFF0F0F0"/>
      </patternFill>
    </fill>
    <fill>
      <patternFill patternType="solid">
        <fgColor theme="6" tint="0.79998168889431442"/>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89999084444715716"/>
        <bgColor indexed="64"/>
      </patternFill>
    </fill>
    <fill>
      <patternFill patternType="solid">
        <fgColor theme="6" tint="-0.249977111117893"/>
        <bgColor indexed="64"/>
      </patternFill>
    </fill>
    <fill>
      <patternFill patternType="solid">
        <fgColor theme="4" tint="0.79998168889431442"/>
        <bgColor rgb="FF000000"/>
      </patternFill>
    </fill>
    <fill>
      <patternFill patternType="solid">
        <fgColor theme="3" tint="0.59999389629810485"/>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rgb="FFFF0000"/>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rgb="FFFFC000"/>
        <bgColor indexed="64"/>
      </patternFill>
    </fill>
    <fill>
      <patternFill patternType="solid">
        <fgColor theme="0" tint="-9.9978637043366805E-2"/>
        <bgColor indexed="64"/>
      </patternFill>
    </fill>
  </fills>
  <borders count="3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53">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0" fontId="2" fillId="0" borderId="0"/>
    <xf numFmtId="0" fontId="19" fillId="0" borderId="0"/>
    <xf numFmtId="0" fontId="20" fillId="4" borderId="0" applyNumberFormat="0" applyBorder="0" applyAlignment="0" applyProtection="0"/>
    <xf numFmtId="0" fontId="2" fillId="12" borderId="0" applyNumberFormat="0" applyBorder="0" applyAlignment="0" applyProtection="0"/>
    <xf numFmtId="0" fontId="2" fillId="16" borderId="0" applyNumberFormat="0" applyBorder="0" applyAlignment="0" applyProtection="0"/>
    <xf numFmtId="0" fontId="2" fillId="20"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5" fillId="0" borderId="0" applyNumberFormat="0" applyFill="0" applyBorder="0" applyAlignment="0" applyProtection="0"/>
    <xf numFmtId="0" fontId="1" fillId="0" borderId="0"/>
  </cellStyleXfs>
  <cellXfs count="145">
    <xf numFmtId="0" fontId="0" fillId="0" borderId="0" xfId="0"/>
    <xf numFmtId="0" fontId="0" fillId="0" borderId="10" xfId="0" applyBorder="1" applyAlignment="1">
      <alignment horizontal="left" vertical="center"/>
    </xf>
    <xf numFmtId="0" fontId="0" fillId="0" borderId="0" xfId="0" applyAlignment="1">
      <alignment horizontal="left" vertical="center"/>
    </xf>
    <xf numFmtId="0" fontId="23" fillId="0" borderId="0" xfId="0" applyFont="1" applyAlignment="1">
      <alignment horizontal="left" vertical="center"/>
    </xf>
    <xf numFmtId="0" fontId="24" fillId="0" borderId="0" xfId="0" applyFont="1" applyAlignment="1">
      <alignment horizontal="left"/>
    </xf>
    <xf numFmtId="0" fontId="21" fillId="0" borderId="0" xfId="0" applyFont="1" applyAlignment="1">
      <alignment horizontal="center"/>
    </xf>
    <xf numFmtId="0" fontId="27" fillId="0" borderId="10" xfId="0" applyFont="1" applyBorder="1"/>
    <xf numFmtId="49" fontId="0" fillId="38" borderId="0" xfId="0" applyNumberFormat="1" applyFill="1"/>
    <xf numFmtId="0" fontId="18" fillId="39" borderId="0" xfId="0" applyFont="1" applyFill="1" applyAlignment="1">
      <alignment horizontal="left" vertical="center"/>
    </xf>
    <xf numFmtId="0" fontId="22" fillId="42" borderId="0" xfId="0" applyFont="1" applyFill="1" applyAlignment="1">
      <alignment horizontal="left"/>
    </xf>
    <xf numFmtId="0" fontId="0" fillId="0" borderId="0" xfId="0" applyAlignment="1">
      <alignment horizontal="left"/>
    </xf>
    <xf numFmtId="0" fontId="0" fillId="0" borderId="0" xfId="0" applyAlignment="1">
      <alignment horizontal="center"/>
    </xf>
    <xf numFmtId="0" fontId="31" fillId="46" borderId="10" xfId="0" applyFont="1" applyFill="1" applyBorder="1" applyAlignment="1">
      <alignment horizontal="center" vertical="center"/>
    </xf>
    <xf numFmtId="0" fontId="31" fillId="33" borderId="12" xfId="0" applyFont="1" applyFill="1" applyBorder="1" applyAlignment="1">
      <alignment horizontal="center" vertical="center"/>
    </xf>
    <xf numFmtId="0" fontId="31" fillId="35" borderId="12" xfId="0" applyFont="1" applyFill="1" applyBorder="1" applyAlignment="1">
      <alignment horizontal="center" vertical="center"/>
    </xf>
    <xf numFmtId="0" fontId="31" fillId="36" borderId="12" xfId="0" applyFont="1" applyFill="1" applyBorder="1" applyAlignment="1">
      <alignment horizontal="center" vertical="center"/>
    </xf>
    <xf numFmtId="0" fontId="0" fillId="0" borderId="29" xfId="0" applyBorder="1" applyAlignment="1">
      <alignment horizontal="right"/>
    </xf>
    <xf numFmtId="0" fontId="0" fillId="0" borderId="30" xfId="0" applyBorder="1" applyAlignment="1">
      <alignment horizontal="right"/>
    </xf>
    <xf numFmtId="0" fontId="0" fillId="0" borderId="31" xfId="0" applyBorder="1" applyAlignment="1">
      <alignment horizontal="right"/>
    </xf>
    <xf numFmtId="0" fontId="28" fillId="47" borderId="13" xfId="0" applyFont="1" applyFill="1" applyBorder="1" applyAlignment="1">
      <alignment horizontal="center"/>
    </xf>
    <xf numFmtId="0" fontId="28" fillId="47" borderId="11" xfId="0" applyFont="1" applyFill="1" applyBorder="1" applyAlignment="1">
      <alignment horizontal="center"/>
    </xf>
    <xf numFmtId="0" fontId="27" fillId="0" borderId="32" xfId="0" applyFont="1" applyBorder="1"/>
    <xf numFmtId="0" fontId="27" fillId="0" borderId="33" xfId="0" applyFont="1" applyBorder="1"/>
    <xf numFmtId="0" fontId="27" fillId="0" borderId="24" xfId="0" applyFont="1" applyBorder="1"/>
    <xf numFmtId="0" fontId="27" fillId="0" borderId="25" xfId="0" applyFont="1" applyBorder="1"/>
    <xf numFmtId="0" fontId="27" fillId="0" borderId="26" xfId="0" applyFont="1" applyBorder="1"/>
    <xf numFmtId="0" fontId="27" fillId="0" borderId="27" xfId="0" applyFont="1" applyBorder="1"/>
    <xf numFmtId="0" fontId="27" fillId="0" borderId="28" xfId="0" applyFont="1" applyBorder="1"/>
    <xf numFmtId="0" fontId="27" fillId="0" borderId="12" xfId="0" applyFont="1" applyBorder="1" applyAlignment="1">
      <alignment wrapText="1"/>
    </xf>
    <xf numFmtId="0" fontId="32" fillId="50" borderId="10" xfId="0" applyFont="1" applyFill="1" applyBorder="1" applyAlignment="1">
      <alignment horizontal="center" vertical="center" wrapText="1"/>
    </xf>
    <xf numFmtId="0" fontId="0" fillId="35" borderId="10" xfId="0" applyFill="1" applyBorder="1" applyAlignment="1">
      <alignment horizontal="center" vertical="center"/>
    </xf>
    <xf numFmtId="0" fontId="17" fillId="34" borderId="10" xfId="0" applyFont="1" applyFill="1" applyBorder="1" applyAlignment="1">
      <alignment horizontal="center" vertical="center"/>
    </xf>
    <xf numFmtId="0" fontId="0" fillId="52" borderId="10" xfId="0" applyFill="1" applyBorder="1" applyAlignment="1">
      <alignment horizontal="center" vertical="center"/>
    </xf>
    <xf numFmtId="0" fontId="0" fillId="0" borderId="0" xfId="0" applyAlignment="1">
      <alignment horizontal="center" vertical="center"/>
    </xf>
    <xf numFmtId="49" fontId="0" fillId="35" borderId="10" xfId="0" applyNumberFormat="1" applyFill="1" applyBorder="1" applyAlignment="1">
      <alignment horizontal="center" vertical="center"/>
    </xf>
    <xf numFmtId="49" fontId="17" fillId="34" borderId="10" xfId="0" applyNumberFormat="1" applyFont="1" applyFill="1" applyBorder="1" applyAlignment="1">
      <alignment horizontal="center" vertical="center"/>
    </xf>
    <xf numFmtId="49" fontId="0" fillId="52" borderId="10" xfId="0" applyNumberFormat="1" applyFill="1" applyBorder="1" applyAlignment="1">
      <alignment horizontal="center" vertical="center"/>
    </xf>
    <xf numFmtId="0" fontId="18" fillId="49" borderId="10" xfId="0" applyFont="1" applyFill="1" applyBorder="1" applyAlignment="1">
      <alignment horizontal="center" vertical="center"/>
    </xf>
    <xf numFmtId="0" fontId="29" fillId="51" borderId="10" xfId="0" applyFont="1" applyFill="1" applyBorder="1" applyAlignment="1">
      <alignment horizontal="center" vertical="center"/>
    </xf>
    <xf numFmtId="49" fontId="18" fillId="49" borderId="10" xfId="0" applyNumberFormat="1" applyFont="1" applyFill="1" applyBorder="1" applyAlignment="1">
      <alignment horizontal="center" vertical="center"/>
    </xf>
    <xf numFmtId="49" fontId="29" fillId="51" borderId="10" xfId="0" applyNumberFormat="1" applyFont="1" applyFill="1" applyBorder="1" applyAlignment="1">
      <alignment horizontal="center" vertical="center"/>
    </xf>
    <xf numFmtId="0" fontId="29" fillId="35" borderId="10" xfId="0" applyFont="1" applyFill="1" applyBorder="1" applyAlignment="1">
      <alignment horizontal="center" vertical="center" wrapText="1"/>
    </xf>
    <xf numFmtId="0" fontId="33" fillId="44" borderId="10" xfId="0" applyFont="1" applyFill="1" applyBorder="1" applyAlignment="1">
      <alignment horizontal="center" vertical="center"/>
    </xf>
    <xf numFmtId="0" fontId="35" fillId="54" borderId="20" xfId="0" applyFont="1" applyFill="1" applyBorder="1" applyAlignment="1">
      <alignment horizontal="center" vertical="center" textRotation="90"/>
    </xf>
    <xf numFmtId="0" fontId="35" fillId="55" borderId="20" xfId="0" applyFont="1" applyFill="1" applyBorder="1" applyAlignment="1">
      <alignment horizontal="center" vertical="center" textRotation="90"/>
    </xf>
    <xf numFmtId="0" fontId="0" fillId="35" borderId="25" xfId="0" applyFill="1" applyBorder="1" applyAlignment="1">
      <alignment horizontal="center" vertical="center"/>
    </xf>
    <xf numFmtId="0" fontId="0" fillId="35" borderId="34" xfId="0" applyFill="1" applyBorder="1" applyAlignment="1">
      <alignment horizontal="center" vertical="center"/>
    </xf>
    <xf numFmtId="0" fontId="0" fillId="35" borderId="35" xfId="0" applyFill="1" applyBorder="1" applyAlignment="1">
      <alignment horizontal="center" vertical="center"/>
    </xf>
    <xf numFmtId="0" fontId="0" fillId="0" borderId="25"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34" borderId="25" xfId="0" applyFill="1" applyBorder="1" applyAlignment="1">
      <alignment horizontal="center" vertical="center"/>
    </xf>
    <xf numFmtId="0" fontId="0" fillId="34" borderId="34" xfId="0" applyFill="1" applyBorder="1" applyAlignment="1">
      <alignment horizontal="center" vertical="center"/>
    </xf>
    <xf numFmtId="0" fontId="0" fillId="34" borderId="35" xfId="0" applyFill="1" applyBorder="1" applyAlignment="1">
      <alignment horizontal="center" vertical="center"/>
    </xf>
    <xf numFmtId="0" fontId="36" fillId="40" borderId="25" xfId="0" applyFont="1" applyFill="1" applyBorder="1" applyAlignment="1">
      <alignment horizontal="center" vertical="center"/>
    </xf>
    <xf numFmtId="0" fontId="36" fillId="40" borderId="34" xfId="0" applyFont="1" applyFill="1" applyBorder="1" applyAlignment="1">
      <alignment horizontal="center" vertical="center"/>
    </xf>
    <xf numFmtId="0" fontId="36" fillId="40" borderId="35" xfId="0" applyFont="1" applyFill="1" applyBorder="1" applyAlignment="1">
      <alignment horizontal="center" vertical="center"/>
    </xf>
    <xf numFmtId="0" fontId="36" fillId="0" borderId="25" xfId="0" applyFont="1" applyBorder="1" applyAlignment="1">
      <alignment horizontal="center" vertical="center"/>
    </xf>
    <xf numFmtId="0" fontId="36" fillId="0" borderId="34" xfId="0" applyFont="1" applyBorder="1" applyAlignment="1">
      <alignment horizontal="center" vertical="center"/>
    </xf>
    <xf numFmtId="0" fontId="36" fillId="0" borderId="35" xfId="0" applyFont="1" applyBorder="1" applyAlignment="1">
      <alignment horizontal="center" vertical="center"/>
    </xf>
    <xf numFmtId="0" fontId="0" fillId="0" borderId="10" xfId="0" applyBorder="1"/>
    <xf numFmtId="0" fontId="21" fillId="34" borderId="18" xfId="0" applyFont="1" applyFill="1" applyBorder="1" applyAlignment="1">
      <alignment horizontal="center" vertical="center"/>
    </xf>
    <xf numFmtId="0" fontId="21" fillId="34" borderId="19" xfId="0" applyFont="1" applyFill="1" applyBorder="1" applyAlignment="1">
      <alignment horizontal="center" vertical="center"/>
    </xf>
    <xf numFmtId="49" fontId="0" fillId="40" borderId="0" xfId="0" applyNumberFormat="1" applyFill="1"/>
    <xf numFmtId="0" fontId="34" fillId="45" borderId="20" xfId="0" applyFont="1" applyFill="1" applyBorder="1" applyAlignment="1">
      <alignment horizontal="left" vertical="center"/>
    </xf>
    <xf numFmtId="49" fontId="0" fillId="0" borderId="10" xfId="0" applyNumberFormat="1" applyBorder="1" applyAlignment="1">
      <alignment horizontal="left" vertical="center"/>
    </xf>
    <xf numFmtId="0" fontId="17" fillId="0" borderId="0" xfId="0" applyFont="1" applyAlignment="1">
      <alignment horizontal="left"/>
    </xf>
    <xf numFmtId="164" fontId="0" fillId="57" borderId="12" xfId="0" applyNumberFormat="1" applyFill="1" applyBorder="1" applyAlignment="1">
      <alignment horizontal="left"/>
    </xf>
    <xf numFmtId="165" fontId="0" fillId="34" borderId="12" xfId="0" quotePrefix="1" applyNumberFormat="1" applyFill="1" applyBorder="1" applyAlignment="1">
      <alignment horizontal="left"/>
    </xf>
    <xf numFmtId="0" fontId="0" fillId="34" borderId="12" xfId="0" quotePrefix="1" applyFill="1" applyBorder="1" applyAlignment="1">
      <alignment horizontal="left"/>
    </xf>
    <xf numFmtId="49" fontId="0" fillId="37" borderId="10" xfId="0" applyNumberFormat="1" applyFill="1" applyBorder="1" applyAlignment="1">
      <alignment horizontal="left"/>
    </xf>
    <xf numFmtId="0" fontId="0" fillId="56" borderId="10" xfId="0" quotePrefix="1" applyFill="1" applyBorder="1" applyAlignment="1">
      <alignment horizontal="left"/>
    </xf>
    <xf numFmtId="0" fontId="17" fillId="56" borderId="0" xfId="0" applyFont="1" applyFill="1" applyAlignment="1">
      <alignment horizontal="left"/>
    </xf>
    <xf numFmtId="0" fontId="0" fillId="57" borderId="28" xfId="0" applyFill="1" applyBorder="1" applyAlignment="1">
      <alignment horizontal="left"/>
    </xf>
    <xf numFmtId="0" fontId="0" fillId="57" borderId="27" xfId="0" applyFill="1" applyBorder="1" applyAlignment="1">
      <alignment horizontal="left"/>
    </xf>
    <xf numFmtId="49" fontId="0" fillId="34" borderId="27" xfId="0" applyNumberFormat="1" applyFill="1" applyBorder="1" applyAlignment="1">
      <alignment horizontal="left"/>
    </xf>
    <xf numFmtId="49" fontId="0" fillId="34" borderId="26" xfId="0" applyNumberFormat="1" applyFill="1" applyBorder="1" applyAlignment="1">
      <alignment horizontal="left"/>
    </xf>
    <xf numFmtId="0" fontId="22" fillId="58" borderId="36" xfId="0" applyFont="1" applyFill="1" applyBorder="1" applyAlignment="1">
      <alignment horizontal="left" vertical="center"/>
    </xf>
    <xf numFmtId="0" fontId="22" fillId="58" borderId="37" xfId="0" applyFont="1" applyFill="1" applyBorder="1" applyAlignment="1">
      <alignment horizontal="left" vertical="center"/>
    </xf>
    <xf numFmtId="0" fontId="0" fillId="59" borderId="37" xfId="0" applyFill="1" applyBorder="1" applyAlignment="1">
      <alignment horizontal="left"/>
    </xf>
    <xf numFmtId="0" fontId="0" fillId="57" borderId="23" xfId="0" applyFill="1" applyBorder="1" applyAlignment="1">
      <alignment horizontal="left"/>
    </xf>
    <xf numFmtId="0" fontId="0" fillId="57" borderId="22" xfId="0" applyFill="1" applyBorder="1" applyAlignment="1">
      <alignment horizontal="left"/>
    </xf>
    <xf numFmtId="49" fontId="0" fillId="34" borderId="22" xfId="0" applyNumberFormat="1" applyFill="1" applyBorder="1" applyAlignment="1">
      <alignment horizontal="left"/>
    </xf>
    <xf numFmtId="49" fontId="0" fillId="34" borderId="21" xfId="0" applyNumberFormat="1" applyFill="1" applyBorder="1" applyAlignment="1">
      <alignment horizontal="left"/>
    </xf>
    <xf numFmtId="0" fontId="22" fillId="58" borderId="16" xfId="0" applyFont="1" applyFill="1" applyBorder="1" applyAlignment="1">
      <alignment horizontal="left" vertical="center"/>
    </xf>
    <xf numFmtId="0" fontId="22" fillId="58" borderId="10" xfId="0" applyFont="1" applyFill="1" applyBorder="1" applyAlignment="1">
      <alignment horizontal="left" vertical="center"/>
    </xf>
    <xf numFmtId="0" fontId="0" fillId="59" borderId="10" xfId="0" applyFill="1" applyBorder="1" applyAlignment="1">
      <alignment horizontal="left"/>
    </xf>
    <xf numFmtId="0" fontId="36" fillId="48" borderId="0" xfId="0" applyFont="1" applyFill="1" applyAlignment="1">
      <alignment horizontal="left" vertical="top"/>
    </xf>
    <xf numFmtId="0" fontId="36" fillId="48" borderId="0" xfId="0" applyFont="1" applyFill="1" applyAlignment="1">
      <alignment horizontal="left"/>
    </xf>
    <xf numFmtId="0" fontId="36" fillId="59" borderId="0" xfId="0" applyFont="1" applyFill="1" applyAlignment="1">
      <alignment horizontal="left"/>
    </xf>
    <xf numFmtId="0" fontId="36" fillId="59" borderId="0" xfId="0" applyFont="1" applyFill="1" applyAlignment="1">
      <alignment horizontal="left" vertical="top"/>
    </xf>
    <xf numFmtId="0" fontId="0" fillId="34" borderId="0" xfId="0" applyFill="1"/>
    <xf numFmtId="0" fontId="0" fillId="0" borderId="0" xfId="0" applyAlignment="1">
      <alignment wrapText="1"/>
    </xf>
    <xf numFmtId="0" fontId="30" fillId="0" borderId="10" xfId="0" applyFont="1" applyBorder="1" applyAlignment="1">
      <alignment vertical="top" wrapText="1"/>
    </xf>
    <xf numFmtId="0" fontId="21" fillId="34" borderId="17" xfId="0" applyFont="1" applyFill="1" applyBorder="1" applyAlignment="1">
      <alignment vertical="center" wrapText="1"/>
    </xf>
    <xf numFmtId="0" fontId="40" fillId="0" borderId="10" xfId="0" applyFont="1" applyBorder="1" applyAlignment="1">
      <alignment horizontal="left" vertical="center" wrapText="1"/>
    </xf>
    <xf numFmtId="0" fontId="17" fillId="41" borderId="13" xfId="0" applyFont="1" applyFill="1" applyBorder="1" applyAlignment="1">
      <alignment vertical="center"/>
    </xf>
    <xf numFmtId="0" fontId="17" fillId="41" borderId="14" xfId="0" applyFont="1" applyFill="1" applyBorder="1" applyAlignment="1">
      <alignment vertical="center"/>
    </xf>
    <xf numFmtId="0" fontId="17" fillId="37" borderId="13" xfId="0" applyFont="1" applyFill="1" applyBorder="1" applyAlignment="1">
      <alignment vertical="center"/>
    </xf>
    <xf numFmtId="0" fontId="17" fillId="37" borderId="15" xfId="0" applyFont="1" applyFill="1" applyBorder="1" applyAlignment="1">
      <alignment vertical="center"/>
    </xf>
    <xf numFmtId="0" fontId="40" fillId="0" borderId="0" xfId="0" applyFont="1" applyAlignment="1">
      <alignment horizontal="left" vertical="center" wrapText="1"/>
    </xf>
    <xf numFmtId="0" fontId="30" fillId="0" borderId="0" xfId="0" applyFont="1" applyAlignment="1">
      <alignment vertical="top" wrapText="1"/>
    </xf>
    <xf numFmtId="0" fontId="40" fillId="61" borderId="10" xfId="0" applyFont="1" applyFill="1" applyBorder="1" applyAlignment="1">
      <alignment horizontal="left" vertical="center" wrapText="1"/>
    </xf>
    <xf numFmtId="0" fontId="42" fillId="0" borderId="10" xfId="0" applyFont="1" applyBorder="1" applyAlignment="1">
      <alignment horizontal="center" vertical="center" wrapText="1"/>
    </xf>
    <xf numFmtId="0" fontId="43" fillId="0" borderId="10" xfId="0" applyFont="1" applyBorder="1" applyAlignment="1">
      <alignment horizontal="center" vertical="center"/>
    </xf>
    <xf numFmtId="14" fontId="30" fillId="0" borderId="10" xfId="0" applyNumberFormat="1" applyFont="1" applyBorder="1" applyAlignment="1">
      <alignment vertical="top" wrapText="1"/>
    </xf>
    <xf numFmtId="49" fontId="0" fillId="62" borderId="0" xfId="0" applyNumberFormat="1" applyFill="1"/>
    <xf numFmtId="0" fontId="0" fillId="62" borderId="10" xfId="0" applyFill="1" applyBorder="1"/>
    <xf numFmtId="0" fontId="0" fillId="62" borderId="0" xfId="0" applyFill="1"/>
    <xf numFmtId="49" fontId="0" fillId="62" borderId="10" xfId="0" applyNumberFormat="1" applyFill="1" applyBorder="1"/>
    <xf numFmtId="0" fontId="0" fillId="62" borderId="0" xfId="0" applyFill="1" applyAlignment="1">
      <alignment horizontal="center" vertical="center"/>
    </xf>
    <xf numFmtId="0" fontId="28" fillId="43" borderId="13" xfId="0" applyFont="1" applyFill="1" applyBorder="1" applyAlignment="1">
      <alignment horizontal="center"/>
    </xf>
    <xf numFmtId="0" fontId="28" fillId="43" borderId="14" xfId="0" applyFont="1" applyFill="1" applyBorder="1" applyAlignment="1">
      <alignment horizontal="center"/>
    </xf>
    <xf numFmtId="0" fontId="28" fillId="43" borderId="15" xfId="0" applyFont="1" applyFill="1" applyBorder="1" applyAlignment="1">
      <alignment horizontal="center"/>
    </xf>
    <xf numFmtId="0" fontId="26" fillId="0" borderId="13" xfId="51" applyFont="1" applyBorder="1" applyAlignment="1">
      <alignment horizontal="center" vertical="center"/>
    </xf>
    <xf numFmtId="0" fontId="26" fillId="0" borderId="14" xfId="51" applyFont="1" applyBorder="1" applyAlignment="1">
      <alignment horizontal="center" vertical="center"/>
    </xf>
    <xf numFmtId="0" fontId="26" fillId="0" borderId="15" xfId="51" applyFont="1" applyBorder="1" applyAlignment="1">
      <alignment horizontal="center" vertical="center"/>
    </xf>
    <xf numFmtId="0" fontId="28" fillId="48" borderId="13" xfId="0" applyFont="1" applyFill="1" applyBorder="1" applyAlignment="1">
      <alignment horizontal="center"/>
    </xf>
    <xf numFmtId="0" fontId="28" fillId="48" borderId="14" xfId="0" applyFont="1" applyFill="1"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31" fillId="47" borderId="13" xfId="0" applyFont="1" applyFill="1" applyBorder="1" applyAlignment="1">
      <alignment horizontal="center"/>
    </xf>
    <xf numFmtId="0" fontId="31" fillId="47" borderId="14" xfId="0" applyFont="1" applyFill="1" applyBorder="1" applyAlignment="1">
      <alignment horizontal="center"/>
    </xf>
    <xf numFmtId="0" fontId="31" fillId="47" borderId="15" xfId="0"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1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31" fillId="53" borderId="13" xfId="0" applyFont="1" applyFill="1" applyBorder="1" applyAlignment="1">
      <alignment horizontal="center"/>
    </xf>
    <xf numFmtId="0" fontId="31" fillId="53" borderId="14" xfId="0" applyFont="1" applyFill="1" applyBorder="1" applyAlignment="1">
      <alignment horizontal="center"/>
    </xf>
    <xf numFmtId="0" fontId="31" fillId="53" borderId="15" xfId="0" applyFont="1" applyFill="1" applyBorder="1" applyAlignment="1">
      <alignment horizontal="center"/>
    </xf>
    <xf numFmtId="0" fontId="0" fillId="33" borderId="0" xfId="0" applyFill="1" applyAlignment="1">
      <alignment horizontal="center"/>
    </xf>
    <xf numFmtId="0" fontId="0" fillId="60" borderId="13" xfId="0" applyFill="1" applyBorder="1" applyAlignment="1">
      <alignment horizontal="center"/>
    </xf>
    <xf numFmtId="0" fontId="0" fillId="60" borderId="14" xfId="0" applyFill="1" applyBorder="1" applyAlignment="1">
      <alignment horizontal="center"/>
    </xf>
    <xf numFmtId="0" fontId="0" fillId="60" borderId="15" xfId="0" applyFill="1" applyBorder="1" applyAlignment="1">
      <alignment horizontal="center"/>
    </xf>
    <xf numFmtId="0" fontId="0" fillId="0" borderId="10" xfId="0" applyFill="1" applyBorder="1"/>
    <xf numFmtId="0" fontId="0" fillId="35" borderId="0" xfId="0" applyFill="1"/>
    <xf numFmtId="0" fontId="0" fillId="0" borderId="12" xfId="0" applyFill="1" applyBorder="1"/>
    <xf numFmtId="0" fontId="44" fillId="35" borderId="10" xfId="0" applyFont="1" applyFill="1" applyBorder="1" applyAlignment="1">
      <alignment horizontal="center" vertical="center" wrapText="1"/>
    </xf>
  </cellXfs>
  <cellStyles count="5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1 2" xfId="45" xr:uid="{00000000-0005-0000-0000-00000D000000}"/>
    <cellStyle name="60% - Accent2" xfId="25" builtinId="36" customBuiltin="1"/>
    <cellStyle name="60% - Accent2 2" xfId="46" xr:uid="{00000000-0005-0000-0000-00000F000000}"/>
    <cellStyle name="60% - Accent3" xfId="29" builtinId="40" customBuiltin="1"/>
    <cellStyle name="60% - Accent3 2" xfId="47" xr:uid="{00000000-0005-0000-0000-000011000000}"/>
    <cellStyle name="60% - Accent4" xfId="33" builtinId="44" customBuiltin="1"/>
    <cellStyle name="60% - Accent4 2" xfId="48" xr:uid="{00000000-0005-0000-0000-000013000000}"/>
    <cellStyle name="60% - Accent5" xfId="37" builtinId="48" customBuiltin="1"/>
    <cellStyle name="60% - Accent5 2" xfId="49" xr:uid="{00000000-0005-0000-0000-000015000000}"/>
    <cellStyle name="60% - Accent6" xfId="41" builtinId="52" customBuiltin="1"/>
    <cellStyle name="60% - Accent6 2" xfId="50" xr:uid="{00000000-0005-0000-0000-000017000000}"/>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51" builtinId="8"/>
    <cellStyle name="Input" xfId="9" builtinId="20" customBuiltin="1"/>
    <cellStyle name="Linked Cell" xfId="12" builtinId="24" customBuiltin="1"/>
    <cellStyle name="Neutral" xfId="8" builtinId="28" customBuiltin="1"/>
    <cellStyle name="Neutral 2" xfId="44" xr:uid="{00000000-0005-0000-0000-00002A000000}"/>
    <cellStyle name="Normal" xfId="0" builtinId="0"/>
    <cellStyle name="Normal 2" xfId="42" xr:uid="{00000000-0005-0000-0000-00002C000000}"/>
    <cellStyle name="Normal 3" xfId="43" xr:uid="{00000000-0005-0000-0000-00002D000000}"/>
    <cellStyle name="Normal 4" xfId="52" xr:uid="{38B5B075-7829-466F-A63D-38CC5139B19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495300</xdr:colOff>
          <xdr:row>5</xdr:row>
          <xdr:rowOff>69850</xdr:rowOff>
        </xdr:from>
        <xdr:to>
          <xdr:col>12</xdr:col>
          <xdr:colOff>50800</xdr:colOff>
          <xdr:row>55</xdr:row>
          <xdr:rowOff>146050</xdr:rowOff>
        </xdr:to>
        <xdr:sp macro="" textlink="">
          <xdr:nvSpPr>
            <xdr:cNvPr id="2049" name="Object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44450</xdr:colOff>
          <xdr:row>1</xdr:row>
          <xdr:rowOff>63500</xdr:rowOff>
        </xdr:from>
        <xdr:to>
          <xdr:col>11</xdr:col>
          <xdr:colOff>44450</xdr:colOff>
          <xdr:row>4</xdr:row>
          <xdr:rowOff>31750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OPEN DOCUMENT IN 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450850</xdr:colOff>
          <xdr:row>4</xdr:row>
          <xdr:rowOff>69850</xdr:rowOff>
        </xdr:from>
        <xdr:to>
          <xdr:col>13</xdr:col>
          <xdr:colOff>387350</xdr:colOff>
          <xdr:row>41</xdr:row>
          <xdr:rowOff>139700</xdr:rowOff>
        </xdr:to>
        <xdr:sp macro="" textlink="">
          <xdr:nvSpPr>
            <xdr:cNvPr id="24577" name="Object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330200</xdr:colOff>
      <xdr:row>1</xdr:row>
      <xdr:rowOff>63499</xdr:rowOff>
    </xdr:from>
    <xdr:to>
      <xdr:col>9</xdr:col>
      <xdr:colOff>900043</xdr:colOff>
      <xdr:row>17</xdr:row>
      <xdr:rowOff>66260</xdr:rowOff>
    </xdr:to>
    <xdr:sp macro="" textlink="">
      <xdr:nvSpPr>
        <xdr:cNvPr id="2" name="TextBox 1">
          <a:extLst>
            <a:ext uri="{FF2B5EF4-FFF2-40B4-BE49-F238E27FC236}">
              <a16:creationId xmlns:a16="http://schemas.microsoft.com/office/drawing/2014/main" id="{B61EE7CF-0985-FBD1-AE25-712F25AA7B0C}"/>
            </a:ext>
          </a:extLst>
        </xdr:cNvPr>
        <xdr:cNvSpPr txBox="1"/>
      </xdr:nvSpPr>
      <xdr:spPr>
        <a:xfrm>
          <a:off x="6967330" y="433456"/>
          <a:ext cx="5009322" cy="2918239"/>
        </a:xfrm>
        <a:custGeom>
          <a:avLst/>
          <a:gdLst>
            <a:gd name="connsiteX0" fmla="*/ 0 w 5009322"/>
            <a:gd name="connsiteY0" fmla="*/ 0 h 2918239"/>
            <a:gd name="connsiteX1" fmla="*/ 656778 w 5009322"/>
            <a:gd name="connsiteY1" fmla="*/ 0 h 2918239"/>
            <a:gd name="connsiteX2" fmla="*/ 1313556 w 5009322"/>
            <a:gd name="connsiteY2" fmla="*/ 0 h 2918239"/>
            <a:gd name="connsiteX3" fmla="*/ 1870147 w 5009322"/>
            <a:gd name="connsiteY3" fmla="*/ 0 h 2918239"/>
            <a:gd name="connsiteX4" fmla="*/ 2476831 w 5009322"/>
            <a:gd name="connsiteY4" fmla="*/ 0 h 2918239"/>
            <a:gd name="connsiteX5" fmla="*/ 2983330 w 5009322"/>
            <a:gd name="connsiteY5" fmla="*/ 0 h 2918239"/>
            <a:gd name="connsiteX6" fmla="*/ 3539921 w 5009322"/>
            <a:gd name="connsiteY6" fmla="*/ 0 h 2918239"/>
            <a:gd name="connsiteX7" fmla="*/ 4196699 w 5009322"/>
            <a:gd name="connsiteY7" fmla="*/ 0 h 2918239"/>
            <a:gd name="connsiteX8" fmla="*/ 5009322 w 5009322"/>
            <a:gd name="connsiteY8" fmla="*/ 0 h 2918239"/>
            <a:gd name="connsiteX9" fmla="*/ 5009322 w 5009322"/>
            <a:gd name="connsiteY9" fmla="*/ 612830 h 2918239"/>
            <a:gd name="connsiteX10" fmla="*/ 5009322 w 5009322"/>
            <a:gd name="connsiteY10" fmla="*/ 1138113 h 2918239"/>
            <a:gd name="connsiteX11" fmla="*/ 5009322 w 5009322"/>
            <a:gd name="connsiteY11" fmla="*/ 1692579 h 2918239"/>
            <a:gd name="connsiteX12" fmla="*/ 5009322 w 5009322"/>
            <a:gd name="connsiteY12" fmla="*/ 2276226 h 2918239"/>
            <a:gd name="connsiteX13" fmla="*/ 5009322 w 5009322"/>
            <a:gd name="connsiteY13" fmla="*/ 2918239 h 2918239"/>
            <a:gd name="connsiteX14" fmla="*/ 4352544 w 5009322"/>
            <a:gd name="connsiteY14" fmla="*/ 2918239 h 2918239"/>
            <a:gd name="connsiteX15" fmla="*/ 3795953 w 5009322"/>
            <a:gd name="connsiteY15" fmla="*/ 2918239 h 2918239"/>
            <a:gd name="connsiteX16" fmla="*/ 3239362 w 5009322"/>
            <a:gd name="connsiteY16" fmla="*/ 2918239 h 2918239"/>
            <a:gd name="connsiteX17" fmla="*/ 2682770 w 5009322"/>
            <a:gd name="connsiteY17" fmla="*/ 2918239 h 2918239"/>
            <a:gd name="connsiteX18" fmla="*/ 2126179 w 5009322"/>
            <a:gd name="connsiteY18" fmla="*/ 2918239 h 2918239"/>
            <a:gd name="connsiteX19" fmla="*/ 1619681 w 5009322"/>
            <a:gd name="connsiteY19" fmla="*/ 2918239 h 2918239"/>
            <a:gd name="connsiteX20" fmla="*/ 1012996 w 5009322"/>
            <a:gd name="connsiteY20" fmla="*/ 2918239 h 2918239"/>
            <a:gd name="connsiteX21" fmla="*/ 0 w 5009322"/>
            <a:gd name="connsiteY21" fmla="*/ 2918239 h 2918239"/>
            <a:gd name="connsiteX22" fmla="*/ 0 w 5009322"/>
            <a:gd name="connsiteY22" fmla="*/ 2276226 h 2918239"/>
            <a:gd name="connsiteX23" fmla="*/ 0 w 5009322"/>
            <a:gd name="connsiteY23" fmla="*/ 1663396 h 2918239"/>
            <a:gd name="connsiteX24" fmla="*/ 0 w 5009322"/>
            <a:gd name="connsiteY24" fmla="*/ 1021384 h 2918239"/>
            <a:gd name="connsiteX25" fmla="*/ 0 w 5009322"/>
            <a:gd name="connsiteY25" fmla="*/ 0 h 29182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5009322" h="2918239" fill="none" extrusionOk="0">
              <a:moveTo>
                <a:pt x="0" y="0"/>
              </a:moveTo>
              <a:cubicBezTo>
                <a:pt x="222398" y="-25702"/>
                <a:pt x="455165" y="54818"/>
                <a:pt x="656778" y="0"/>
              </a:cubicBezTo>
              <a:cubicBezTo>
                <a:pt x="858391" y="-54818"/>
                <a:pt x="1139001" y="48346"/>
                <a:pt x="1313556" y="0"/>
              </a:cubicBezTo>
              <a:cubicBezTo>
                <a:pt x="1488111" y="-48346"/>
                <a:pt x="1744151" y="54714"/>
                <a:pt x="1870147" y="0"/>
              </a:cubicBezTo>
              <a:cubicBezTo>
                <a:pt x="1996143" y="-54714"/>
                <a:pt x="2285901" y="30094"/>
                <a:pt x="2476831" y="0"/>
              </a:cubicBezTo>
              <a:cubicBezTo>
                <a:pt x="2667761" y="-30094"/>
                <a:pt x="2859856" y="1164"/>
                <a:pt x="2983330" y="0"/>
              </a:cubicBezTo>
              <a:cubicBezTo>
                <a:pt x="3106804" y="-1164"/>
                <a:pt x="3271334" y="25038"/>
                <a:pt x="3539921" y="0"/>
              </a:cubicBezTo>
              <a:cubicBezTo>
                <a:pt x="3808508" y="-25038"/>
                <a:pt x="3934235" y="47795"/>
                <a:pt x="4196699" y="0"/>
              </a:cubicBezTo>
              <a:cubicBezTo>
                <a:pt x="4459163" y="-47795"/>
                <a:pt x="4744469" y="73072"/>
                <a:pt x="5009322" y="0"/>
              </a:cubicBezTo>
              <a:cubicBezTo>
                <a:pt x="5043751" y="198525"/>
                <a:pt x="4939964" y="474132"/>
                <a:pt x="5009322" y="612830"/>
              </a:cubicBezTo>
              <a:cubicBezTo>
                <a:pt x="5078680" y="751528"/>
                <a:pt x="4999156" y="879626"/>
                <a:pt x="5009322" y="1138113"/>
              </a:cubicBezTo>
              <a:cubicBezTo>
                <a:pt x="5019488" y="1396600"/>
                <a:pt x="4983024" y="1560723"/>
                <a:pt x="5009322" y="1692579"/>
              </a:cubicBezTo>
              <a:cubicBezTo>
                <a:pt x="5035620" y="1824435"/>
                <a:pt x="5009172" y="2109938"/>
                <a:pt x="5009322" y="2276226"/>
              </a:cubicBezTo>
              <a:cubicBezTo>
                <a:pt x="5009472" y="2442514"/>
                <a:pt x="4975819" y="2661570"/>
                <a:pt x="5009322" y="2918239"/>
              </a:cubicBezTo>
              <a:cubicBezTo>
                <a:pt x="4725131" y="2922652"/>
                <a:pt x="4524848" y="2893721"/>
                <a:pt x="4352544" y="2918239"/>
              </a:cubicBezTo>
              <a:cubicBezTo>
                <a:pt x="4180240" y="2942757"/>
                <a:pt x="4000329" y="2902566"/>
                <a:pt x="3795953" y="2918239"/>
              </a:cubicBezTo>
              <a:cubicBezTo>
                <a:pt x="3591577" y="2933912"/>
                <a:pt x="3482259" y="2906759"/>
                <a:pt x="3239362" y="2918239"/>
              </a:cubicBezTo>
              <a:cubicBezTo>
                <a:pt x="2996465" y="2929719"/>
                <a:pt x="2833261" y="2885112"/>
                <a:pt x="2682770" y="2918239"/>
              </a:cubicBezTo>
              <a:cubicBezTo>
                <a:pt x="2532279" y="2951366"/>
                <a:pt x="2284312" y="2904964"/>
                <a:pt x="2126179" y="2918239"/>
              </a:cubicBezTo>
              <a:cubicBezTo>
                <a:pt x="1968046" y="2931514"/>
                <a:pt x="1744159" y="2890615"/>
                <a:pt x="1619681" y="2918239"/>
              </a:cubicBezTo>
              <a:cubicBezTo>
                <a:pt x="1495203" y="2945863"/>
                <a:pt x="1249752" y="2912037"/>
                <a:pt x="1012996" y="2918239"/>
              </a:cubicBezTo>
              <a:cubicBezTo>
                <a:pt x="776241" y="2924441"/>
                <a:pt x="210277" y="2907772"/>
                <a:pt x="0" y="2918239"/>
              </a:cubicBezTo>
              <a:cubicBezTo>
                <a:pt x="-35378" y="2622385"/>
                <a:pt x="52801" y="2496488"/>
                <a:pt x="0" y="2276226"/>
              </a:cubicBezTo>
              <a:cubicBezTo>
                <a:pt x="-52801" y="2055964"/>
                <a:pt x="5343" y="1897141"/>
                <a:pt x="0" y="1663396"/>
              </a:cubicBezTo>
              <a:cubicBezTo>
                <a:pt x="-5343" y="1429651"/>
                <a:pt x="21638" y="1208993"/>
                <a:pt x="0" y="1021384"/>
              </a:cubicBezTo>
              <a:cubicBezTo>
                <a:pt x="-21638" y="833775"/>
                <a:pt x="4302" y="432048"/>
                <a:pt x="0" y="0"/>
              </a:cubicBezTo>
              <a:close/>
            </a:path>
            <a:path w="5009322" h="2918239" stroke="0" extrusionOk="0">
              <a:moveTo>
                <a:pt x="0" y="0"/>
              </a:moveTo>
              <a:cubicBezTo>
                <a:pt x="185210" y="-23933"/>
                <a:pt x="327501" y="39977"/>
                <a:pt x="506498" y="0"/>
              </a:cubicBezTo>
              <a:cubicBezTo>
                <a:pt x="685495" y="-39977"/>
                <a:pt x="742896" y="24110"/>
                <a:pt x="912810" y="0"/>
              </a:cubicBezTo>
              <a:cubicBezTo>
                <a:pt x="1082724" y="-24110"/>
                <a:pt x="1393380" y="74939"/>
                <a:pt x="1569588" y="0"/>
              </a:cubicBezTo>
              <a:cubicBezTo>
                <a:pt x="1745796" y="-74939"/>
                <a:pt x="1878459" y="53355"/>
                <a:pt x="2076086" y="0"/>
              </a:cubicBezTo>
              <a:cubicBezTo>
                <a:pt x="2273713" y="-53355"/>
                <a:pt x="2448217" y="37118"/>
                <a:pt x="2582584" y="0"/>
              </a:cubicBezTo>
              <a:cubicBezTo>
                <a:pt x="2716951" y="-37118"/>
                <a:pt x="2982038" y="32934"/>
                <a:pt x="3239362" y="0"/>
              </a:cubicBezTo>
              <a:cubicBezTo>
                <a:pt x="3496686" y="-32934"/>
                <a:pt x="3590872" y="6210"/>
                <a:pt x="3695766" y="0"/>
              </a:cubicBezTo>
              <a:cubicBezTo>
                <a:pt x="3800660" y="-6210"/>
                <a:pt x="4059880" y="78325"/>
                <a:pt x="4352544" y="0"/>
              </a:cubicBezTo>
              <a:cubicBezTo>
                <a:pt x="4645208" y="-78325"/>
                <a:pt x="4824824" y="33854"/>
                <a:pt x="5009322" y="0"/>
              </a:cubicBezTo>
              <a:cubicBezTo>
                <a:pt x="5046812" y="119283"/>
                <a:pt x="4996216" y="297623"/>
                <a:pt x="5009322" y="583648"/>
              </a:cubicBezTo>
              <a:cubicBezTo>
                <a:pt x="5022428" y="869673"/>
                <a:pt x="5007523" y="881050"/>
                <a:pt x="5009322" y="1167296"/>
              </a:cubicBezTo>
              <a:cubicBezTo>
                <a:pt x="5011121" y="1453542"/>
                <a:pt x="4998743" y="1644895"/>
                <a:pt x="5009322" y="1780126"/>
              </a:cubicBezTo>
              <a:cubicBezTo>
                <a:pt x="5019901" y="1915357"/>
                <a:pt x="4980769" y="2077950"/>
                <a:pt x="5009322" y="2276226"/>
              </a:cubicBezTo>
              <a:cubicBezTo>
                <a:pt x="5037875" y="2474502"/>
                <a:pt x="4936112" y="2626399"/>
                <a:pt x="5009322" y="2918239"/>
              </a:cubicBezTo>
              <a:cubicBezTo>
                <a:pt x="4862540" y="2982232"/>
                <a:pt x="4681857" y="2905115"/>
                <a:pt x="4452731" y="2918239"/>
              </a:cubicBezTo>
              <a:cubicBezTo>
                <a:pt x="4223605" y="2931363"/>
                <a:pt x="4095452" y="2916516"/>
                <a:pt x="3896139" y="2918239"/>
              </a:cubicBezTo>
              <a:cubicBezTo>
                <a:pt x="3696826" y="2919962"/>
                <a:pt x="3473586" y="2893437"/>
                <a:pt x="3239362" y="2918239"/>
              </a:cubicBezTo>
              <a:cubicBezTo>
                <a:pt x="3005138" y="2943041"/>
                <a:pt x="2800463" y="2902218"/>
                <a:pt x="2682770" y="2918239"/>
              </a:cubicBezTo>
              <a:cubicBezTo>
                <a:pt x="2565077" y="2934260"/>
                <a:pt x="2385915" y="2902494"/>
                <a:pt x="2276459" y="2918239"/>
              </a:cubicBezTo>
              <a:cubicBezTo>
                <a:pt x="2167003" y="2933984"/>
                <a:pt x="1946898" y="2888344"/>
                <a:pt x="1820054" y="2918239"/>
              </a:cubicBezTo>
              <a:cubicBezTo>
                <a:pt x="1693211" y="2948134"/>
                <a:pt x="1360785" y="2854199"/>
                <a:pt x="1163276" y="2918239"/>
              </a:cubicBezTo>
              <a:cubicBezTo>
                <a:pt x="965767" y="2982279"/>
                <a:pt x="745511" y="2911212"/>
                <a:pt x="606685" y="2918239"/>
              </a:cubicBezTo>
              <a:cubicBezTo>
                <a:pt x="467859" y="2925266"/>
                <a:pt x="149405" y="2876174"/>
                <a:pt x="0" y="2918239"/>
              </a:cubicBezTo>
              <a:cubicBezTo>
                <a:pt x="-25306" y="2657777"/>
                <a:pt x="3551" y="2591427"/>
                <a:pt x="0" y="2334591"/>
              </a:cubicBezTo>
              <a:cubicBezTo>
                <a:pt x="-3551" y="2077755"/>
                <a:pt x="25905" y="2084971"/>
                <a:pt x="0" y="1838491"/>
              </a:cubicBezTo>
              <a:cubicBezTo>
                <a:pt x="-25905" y="1592011"/>
                <a:pt x="1786" y="1506278"/>
                <a:pt x="0" y="1342390"/>
              </a:cubicBezTo>
              <a:cubicBezTo>
                <a:pt x="-1786" y="1178502"/>
                <a:pt x="71972" y="911288"/>
                <a:pt x="0" y="729560"/>
              </a:cubicBezTo>
              <a:cubicBezTo>
                <a:pt x="-71972" y="547832"/>
                <a:pt x="72031" y="172740"/>
                <a:pt x="0" y="0"/>
              </a:cubicBezTo>
              <a:close/>
            </a:path>
          </a:pathLst>
        </a:custGeom>
        <a:solidFill>
          <a:schemeClr val="accent1">
            <a:lumMod val="20000"/>
            <a:lumOff val="80000"/>
          </a:schemeClr>
        </a:solidFill>
        <a:ln w="50800" cap="rnd" cmpd="thinThick">
          <a:solidFill>
            <a:schemeClr val="tx1">
              <a:lumMod val="75000"/>
            </a:schemeClr>
          </a:solidFill>
          <a:prstDash val="solid"/>
          <a:extLst>
            <a:ext uri="{C807C97D-BFC1-408E-A445-0C87EB9F89A2}">
              <ask:lineSketchStyleProps xmlns:ask="http://schemas.microsoft.com/office/drawing/2018/sketchyshapes" sd="1219033472">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u="sng"/>
            <a:t>INSTRUCTIONS</a:t>
          </a:r>
          <a:r>
            <a:rPr lang="en-US" sz="1100"/>
            <a:t>: (</a:t>
          </a:r>
          <a:r>
            <a:rPr lang="en-US" sz="1100" baseline="0"/>
            <a:t>COLUMNS DENOTED WITH (**) HAVE FORMULAS OR LOGIC IN THEM THAT SHOULD NOT BE WRITTEN OVER)</a:t>
          </a:r>
        </a:p>
        <a:p>
          <a:endParaRPr lang="en-US" sz="1100"/>
        </a:p>
        <a:p>
          <a:r>
            <a:rPr lang="en-US" sz="1100"/>
            <a:t>COLUMN</a:t>
          </a:r>
          <a:r>
            <a:rPr lang="en-US" sz="1100" baseline="0"/>
            <a:t> A = RAW DATA OF ACCT NAME</a:t>
          </a:r>
        </a:p>
        <a:p>
          <a:r>
            <a:rPr lang="en-US" sz="1100" baseline="0"/>
            <a:t>COLUMN B = RAW DATA OF ACCT NUMBER</a:t>
          </a:r>
        </a:p>
        <a:p>
          <a:r>
            <a:rPr lang="en-US" sz="1100" baseline="0"/>
            <a:t>**COLUMN C = FORMULA TO CLEANSE COLUMN A, MAKE UPPER CASE AND REMOVE ANY EXTRA SPACES</a:t>
          </a:r>
        </a:p>
        <a:p>
          <a:r>
            <a:rPr lang="en-US" sz="1100" baseline="0"/>
            <a:t>**COLUMN D = FORMULA TO ADD LEADING ZERO IF LESS THAN 4 DIGITS, IF YOUR STORE NUMBER IS MORE THAN 4 DIGITS, OR MIXED WITH VARIOUS DIGITS, SIMPLY UPDATE THE FORMULA, THE "0"S REPRESENT THE NUMBER OF DIGITS NEEDED:</a:t>
          </a:r>
        </a:p>
        <a:p>
          <a:r>
            <a:rPr lang="en-US" sz="1100" baseline="0"/>
            <a:t>CURRENT FORMULA=TEXT(B2,"0000")</a:t>
          </a:r>
        </a:p>
        <a:p>
          <a:r>
            <a:rPr lang="en-US" sz="1100" baseline="0"/>
            <a:t>IF YOU NEED 6 DIGITS=TEXT(B2,"000000")</a:t>
          </a:r>
        </a:p>
        <a:p>
          <a:r>
            <a:rPr lang="en-US" sz="1100" baseline="0"/>
            <a:t>ADJUST THE ZEROS AS NEEDED</a:t>
          </a:r>
        </a:p>
        <a:p>
          <a:r>
            <a:rPr lang="en-US" sz="1100" baseline="0"/>
            <a:t>**COLUMN E = CONCATS THE FINAL NAME RESULTS, COPY AND PASTE VALUES INTO "FIELD" TAB</a:t>
          </a:r>
        </a:p>
        <a:p>
          <a:endParaRPr lang="en-US" sz="1100" baseline="0"/>
        </a:p>
        <a:p>
          <a:endParaRPr lang="en-US" sz="1100" baseline="0"/>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1</xdr:row>
      <xdr:rowOff>0</xdr:rowOff>
    </xdr:from>
    <xdr:to>
      <xdr:col>19</xdr:col>
      <xdr:colOff>324970</xdr:colOff>
      <xdr:row>24</xdr:row>
      <xdr:rowOff>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0115176" y="186765"/>
          <a:ext cx="4000500" cy="4295588"/>
        </a:xfrm>
        <a:custGeom>
          <a:avLst/>
          <a:gdLst>
            <a:gd name="connsiteX0" fmla="*/ 0 w 4000500"/>
            <a:gd name="connsiteY0" fmla="*/ 0 h 4295588"/>
            <a:gd name="connsiteX1" fmla="*/ 571500 w 4000500"/>
            <a:gd name="connsiteY1" fmla="*/ 0 h 4295588"/>
            <a:gd name="connsiteX2" fmla="*/ 1062990 w 4000500"/>
            <a:gd name="connsiteY2" fmla="*/ 0 h 4295588"/>
            <a:gd name="connsiteX3" fmla="*/ 1554480 w 4000500"/>
            <a:gd name="connsiteY3" fmla="*/ 0 h 4295588"/>
            <a:gd name="connsiteX4" fmla="*/ 2165985 w 4000500"/>
            <a:gd name="connsiteY4" fmla="*/ 0 h 4295588"/>
            <a:gd name="connsiteX5" fmla="*/ 2617470 w 4000500"/>
            <a:gd name="connsiteY5" fmla="*/ 0 h 4295588"/>
            <a:gd name="connsiteX6" fmla="*/ 3068955 w 4000500"/>
            <a:gd name="connsiteY6" fmla="*/ 0 h 4295588"/>
            <a:gd name="connsiteX7" fmla="*/ 4000500 w 4000500"/>
            <a:gd name="connsiteY7" fmla="*/ 0 h 4295588"/>
            <a:gd name="connsiteX8" fmla="*/ 4000500 w 4000500"/>
            <a:gd name="connsiteY8" fmla="*/ 579904 h 4295588"/>
            <a:gd name="connsiteX9" fmla="*/ 4000500 w 4000500"/>
            <a:gd name="connsiteY9" fmla="*/ 1202765 h 4295588"/>
            <a:gd name="connsiteX10" fmla="*/ 4000500 w 4000500"/>
            <a:gd name="connsiteY10" fmla="*/ 1696757 h 4295588"/>
            <a:gd name="connsiteX11" fmla="*/ 4000500 w 4000500"/>
            <a:gd name="connsiteY11" fmla="*/ 2147794 h 4295588"/>
            <a:gd name="connsiteX12" fmla="*/ 4000500 w 4000500"/>
            <a:gd name="connsiteY12" fmla="*/ 2770654 h 4295588"/>
            <a:gd name="connsiteX13" fmla="*/ 4000500 w 4000500"/>
            <a:gd name="connsiteY13" fmla="*/ 3178735 h 4295588"/>
            <a:gd name="connsiteX14" fmla="*/ 4000500 w 4000500"/>
            <a:gd name="connsiteY14" fmla="*/ 3629772 h 4295588"/>
            <a:gd name="connsiteX15" fmla="*/ 4000500 w 4000500"/>
            <a:gd name="connsiteY15" fmla="*/ 4295588 h 4295588"/>
            <a:gd name="connsiteX16" fmla="*/ 3348990 w 4000500"/>
            <a:gd name="connsiteY16" fmla="*/ 4295588 h 4295588"/>
            <a:gd name="connsiteX17" fmla="*/ 2737485 w 4000500"/>
            <a:gd name="connsiteY17" fmla="*/ 4295588 h 4295588"/>
            <a:gd name="connsiteX18" fmla="*/ 2205990 w 4000500"/>
            <a:gd name="connsiteY18" fmla="*/ 4295588 h 4295588"/>
            <a:gd name="connsiteX19" fmla="*/ 1634490 w 4000500"/>
            <a:gd name="connsiteY19" fmla="*/ 4295588 h 4295588"/>
            <a:gd name="connsiteX20" fmla="*/ 982980 w 4000500"/>
            <a:gd name="connsiteY20" fmla="*/ 4295588 h 4295588"/>
            <a:gd name="connsiteX21" fmla="*/ 491490 w 4000500"/>
            <a:gd name="connsiteY21" fmla="*/ 4295588 h 4295588"/>
            <a:gd name="connsiteX22" fmla="*/ 0 w 4000500"/>
            <a:gd name="connsiteY22" fmla="*/ 4295588 h 4295588"/>
            <a:gd name="connsiteX23" fmla="*/ 0 w 4000500"/>
            <a:gd name="connsiteY23" fmla="*/ 3887507 h 4295588"/>
            <a:gd name="connsiteX24" fmla="*/ 0 w 4000500"/>
            <a:gd name="connsiteY24" fmla="*/ 3479426 h 4295588"/>
            <a:gd name="connsiteX25" fmla="*/ 0 w 4000500"/>
            <a:gd name="connsiteY25" fmla="*/ 3071345 h 4295588"/>
            <a:gd name="connsiteX26" fmla="*/ 0 w 4000500"/>
            <a:gd name="connsiteY26" fmla="*/ 2663265 h 4295588"/>
            <a:gd name="connsiteX27" fmla="*/ 0 w 4000500"/>
            <a:gd name="connsiteY27" fmla="*/ 2083360 h 4295588"/>
            <a:gd name="connsiteX28" fmla="*/ 0 w 4000500"/>
            <a:gd name="connsiteY28" fmla="*/ 1675279 h 4295588"/>
            <a:gd name="connsiteX29" fmla="*/ 0 w 4000500"/>
            <a:gd name="connsiteY29" fmla="*/ 1052419 h 4295588"/>
            <a:gd name="connsiteX30" fmla="*/ 0 w 4000500"/>
            <a:gd name="connsiteY30" fmla="*/ 0 h 42955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4000500" h="4295588" fill="none" extrusionOk="0">
              <a:moveTo>
                <a:pt x="0" y="0"/>
              </a:moveTo>
              <a:cubicBezTo>
                <a:pt x="238471" y="-45451"/>
                <a:pt x="334546" y="40290"/>
                <a:pt x="571500" y="0"/>
              </a:cubicBezTo>
              <a:cubicBezTo>
                <a:pt x="808454" y="-40290"/>
                <a:pt x="828041" y="41650"/>
                <a:pt x="1062990" y="0"/>
              </a:cubicBezTo>
              <a:cubicBezTo>
                <a:pt x="1297939" y="-41650"/>
                <a:pt x="1395196" y="20146"/>
                <a:pt x="1554480" y="0"/>
              </a:cubicBezTo>
              <a:cubicBezTo>
                <a:pt x="1713764" y="-20146"/>
                <a:pt x="1892638" y="72470"/>
                <a:pt x="2165985" y="0"/>
              </a:cubicBezTo>
              <a:cubicBezTo>
                <a:pt x="2439332" y="-72470"/>
                <a:pt x="2466851" y="13153"/>
                <a:pt x="2617470" y="0"/>
              </a:cubicBezTo>
              <a:cubicBezTo>
                <a:pt x="2768090" y="-13153"/>
                <a:pt x="2893246" y="21081"/>
                <a:pt x="3068955" y="0"/>
              </a:cubicBezTo>
              <a:cubicBezTo>
                <a:pt x="3244664" y="-21081"/>
                <a:pt x="3801398" y="43215"/>
                <a:pt x="4000500" y="0"/>
              </a:cubicBezTo>
              <a:cubicBezTo>
                <a:pt x="4036920" y="188506"/>
                <a:pt x="3946400" y="336946"/>
                <a:pt x="4000500" y="579904"/>
              </a:cubicBezTo>
              <a:cubicBezTo>
                <a:pt x="4054600" y="822862"/>
                <a:pt x="3952117" y="1043143"/>
                <a:pt x="4000500" y="1202765"/>
              </a:cubicBezTo>
              <a:cubicBezTo>
                <a:pt x="4048883" y="1362387"/>
                <a:pt x="3974332" y="1550063"/>
                <a:pt x="4000500" y="1696757"/>
              </a:cubicBezTo>
              <a:cubicBezTo>
                <a:pt x="4026668" y="1843451"/>
                <a:pt x="3975366" y="1983515"/>
                <a:pt x="4000500" y="2147794"/>
              </a:cubicBezTo>
              <a:cubicBezTo>
                <a:pt x="4025634" y="2312073"/>
                <a:pt x="3996236" y="2572569"/>
                <a:pt x="4000500" y="2770654"/>
              </a:cubicBezTo>
              <a:cubicBezTo>
                <a:pt x="4004764" y="2968739"/>
                <a:pt x="3987717" y="3093348"/>
                <a:pt x="4000500" y="3178735"/>
              </a:cubicBezTo>
              <a:cubicBezTo>
                <a:pt x="4013283" y="3264122"/>
                <a:pt x="3985987" y="3524329"/>
                <a:pt x="4000500" y="3629772"/>
              </a:cubicBezTo>
              <a:cubicBezTo>
                <a:pt x="4015013" y="3735215"/>
                <a:pt x="3965172" y="3992947"/>
                <a:pt x="4000500" y="4295588"/>
              </a:cubicBezTo>
              <a:cubicBezTo>
                <a:pt x="3753554" y="4340189"/>
                <a:pt x="3516522" y="4256754"/>
                <a:pt x="3348990" y="4295588"/>
              </a:cubicBezTo>
              <a:cubicBezTo>
                <a:pt x="3181458" y="4334422"/>
                <a:pt x="2911427" y="4284331"/>
                <a:pt x="2737485" y="4295588"/>
              </a:cubicBezTo>
              <a:cubicBezTo>
                <a:pt x="2563544" y="4306845"/>
                <a:pt x="2347923" y="4277855"/>
                <a:pt x="2205990" y="4295588"/>
              </a:cubicBezTo>
              <a:cubicBezTo>
                <a:pt x="2064057" y="4313321"/>
                <a:pt x="1771355" y="4247743"/>
                <a:pt x="1634490" y="4295588"/>
              </a:cubicBezTo>
              <a:cubicBezTo>
                <a:pt x="1497625" y="4343433"/>
                <a:pt x="1258441" y="4255133"/>
                <a:pt x="982980" y="4295588"/>
              </a:cubicBezTo>
              <a:cubicBezTo>
                <a:pt x="707519" y="4336043"/>
                <a:pt x="699845" y="4272366"/>
                <a:pt x="491490" y="4295588"/>
              </a:cubicBezTo>
              <a:cubicBezTo>
                <a:pt x="283135" y="4318810"/>
                <a:pt x="121957" y="4241428"/>
                <a:pt x="0" y="4295588"/>
              </a:cubicBezTo>
              <a:cubicBezTo>
                <a:pt x="-43553" y="4147993"/>
                <a:pt x="42007" y="4003842"/>
                <a:pt x="0" y="3887507"/>
              </a:cubicBezTo>
              <a:cubicBezTo>
                <a:pt x="-42007" y="3771172"/>
                <a:pt x="35796" y="3626461"/>
                <a:pt x="0" y="3479426"/>
              </a:cubicBezTo>
              <a:cubicBezTo>
                <a:pt x="-35796" y="3332391"/>
                <a:pt x="6698" y="3171951"/>
                <a:pt x="0" y="3071345"/>
              </a:cubicBezTo>
              <a:cubicBezTo>
                <a:pt x="-6698" y="2970739"/>
                <a:pt x="13139" y="2817395"/>
                <a:pt x="0" y="2663265"/>
              </a:cubicBezTo>
              <a:cubicBezTo>
                <a:pt x="-13139" y="2509135"/>
                <a:pt x="25206" y="2222173"/>
                <a:pt x="0" y="2083360"/>
              </a:cubicBezTo>
              <a:cubicBezTo>
                <a:pt x="-25206" y="1944547"/>
                <a:pt x="42546" y="1852670"/>
                <a:pt x="0" y="1675279"/>
              </a:cubicBezTo>
              <a:cubicBezTo>
                <a:pt x="-42546" y="1497888"/>
                <a:pt x="64004" y="1300294"/>
                <a:pt x="0" y="1052419"/>
              </a:cubicBezTo>
              <a:cubicBezTo>
                <a:pt x="-64004" y="804544"/>
                <a:pt x="102570" y="459825"/>
                <a:pt x="0" y="0"/>
              </a:cubicBezTo>
              <a:close/>
            </a:path>
            <a:path w="4000500" h="4295588" stroke="0" extrusionOk="0">
              <a:moveTo>
                <a:pt x="0" y="0"/>
              </a:moveTo>
              <a:cubicBezTo>
                <a:pt x="207684" y="-66113"/>
                <a:pt x="379083" y="20417"/>
                <a:pt x="571500" y="0"/>
              </a:cubicBezTo>
              <a:cubicBezTo>
                <a:pt x="763917" y="-20417"/>
                <a:pt x="820901" y="51844"/>
                <a:pt x="1062990" y="0"/>
              </a:cubicBezTo>
              <a:cubicBezTo>
                <a:pt x="1305079" y="-51844"/>
                <a:pt x="1436408" y="40103"/>
                <a:pt x="1594485" y="0"/>
              </a:cubicBezTo>
              <a:cubicBezTo>
                <a:pt x="1752563" y="-40103"/>
                <a:pt x="1944545" y="59176"/>
                <a:pt x="2125980" y="0"/>
              </a:cubicBezTo>
              <a:cubicBezTo>
                <a:pt x="2307416" y="-59176"/>
                <a:pt x="2447898" y="37015"/>
                <a:pt x="2737485" y="0"/>
              </a:cubicBezTo>
              <a:cubicBezTo>
                <a:pt x="3027072" y="-37015"/>
                <a:pt x="3037370" y="27039"/>
                <a:pt x="3188970" y="0"/>
              </a:cubicBezTo>
              <a:cubicBezTo>
                <a:pt x="3340571" y="-27039"/>
                <a:pt x="3691923" y="56087"/>
                <a:pt x="4000500" y="0"/>
              </a:cubicBezTo>
              <a:cubicBezTo>
                <a:pt x="4039940" y="148468"/>
                <a:pt x="3964962" y="258439"/>
                <a:pt x="4000500" y="493993"/>
              </a:cubicBezTo>
              <a:cubicBezTo>
                <a:pt x="4036038" y="729547"/>
                <a:pt x="3948356" y="851201"/>
                <a:pt x="4000500" y="945029"/>
              </a:cubicBezTo>
              <a:cubicBezTo>
                <a:pt x="4052644" y="1038857"/>
                <a:pt x="3997986" y="1297975"/>
                <a:pt x="4000500" y="1439022"/>
              </a:cubicBezTo>
              <a:cubicBezTo>
                <a:pt x="4003014" y="1580069"/>
                <a:pt x="3951721" y="1681002"/>
                <a:pt x="4000500" y="1890059"/>
              </a:cubicBezTo>
              <a:cubicBezTo>
                <a:pt x="4049279" y="2099116"/>
                <a:pt x="3943403" y="2226436"/>
                <a:pt x="4000500" y="2384051"/>
              </a:cubicBezTo>
              <a:cubicBezTo>
                <a:pt x="4057597" y="2541666"/>
                <a:pt x="3944648" y="2704561"/>
                <a:pt x="4000500" y="2921000"/>
              </a:cubicBezTo>
              <a:cubicBezTo>
                <a:pt x="4056352" y="3137439"/>
                <a:pt x="3996699" y="3342389"/>
                <a:pt x="4000500" y="3457948"/>
              </a:cubicBezTo>
              <a:cubicBezTo>
                <a:pt x="4004301" y="3573507"/>
                <a:pt x="3944435" y="4004283"/>
                <a:pt x="4000500" y="4295588"/>
              </a:cubicBezTo>
              <a:cubicBezTo>
                <a:pt x="3842476" y="4333633"/>
                <a:pt x="3612750" y="4255545"/>
                <a:pt x="3429000" y="4295588"/>
              </a:cubicBezTo>
              <a:cubicBezTo>
                <a:pt x="3245250" y="4335631"/>
                <a:pt x="3093692" y="4283644"/>
                <a:pt x="2897505" y="4295588"/>
              </a:cubicBezTo>
              <a:cubicBezTo>
                <a:pt x="2701319" y="4307532"/>
                <a:pt x="2521013" y="4238553"/>
                <a:pt x="2286000" y="4295588"/>
              </a:cubicBezTo>
              <a:cubicBezTo>
                <a:pt x="2050988" y="4352623"/>
                <a:pt x="1849786" y="4247399"/>
                <a:pt x="1634490" y="4295588"/>
              </a:cubicBezTo>
              <a:cubicBezTo>
                <a:pt x="1419194" y="4343777"/>
                <a:pt x="1358469" y="4253338"/>
                <a:pt x="1183005" y="4295588"/>
              </a:cubicBezTo>
              <a:cubicBezTo>
                <a:pt x="1007542" y="4337838"/>
                <a:pt x="735677" y="4290131"/>
                <a:pt x="531495" y="4295588"/>
              </a:cubicBezTo>
              <a:cubicBezTo>
                <a:pt x="327313" y="4301045"/>
                <a:pt x="170714" y="4255837"/>
                <a:pt x="0" y="4295588"/>
              </a:cubicBezTo>
              <a:cubicBezTo>
                <a:pt x="-792" y="4071688"/>
                <a:pt x="18981" y="3904316"/>
                <a:pt x="0" y="3758640"/>
              </a:cubicBezTo>
              <a:cubicBezTo>
                <a:pt x="-18981" y="3612964"/>
                <a:pt x="40686" y="3420966"/>
                <a:pt x="0" y="3307603"/>
              </a:cubicBezTo>
              <a:cubicBezTo>
                <a:pt x="-40686" y="3194240"/>
                <a:pt x="14719" y="2983688"/>
                <a:pt x="0" y="2813610"/>
              </a:cubicBezTo>
              <a:cubicBezTo>
                <a:pt x="-14719" y="2643532"/>
                <a:pt x="23577" y="2470461"/>
                <a:pt x="0" y="2362573"/>
              </a:cubicBezTo>
              <a:cubicBezTo>
                <a:pt x="-23577" y="2254685"/>
                <a:pt x="53387" y="1896892"/>
                <a:pt x="0" y="1739713"/>
              </a:cubicBezTo>
              <a:cubicBezTo>
                <a:pt x="-53387" y="1582534"/>
                <a:pt x="38500" y="1394607"/>
                <a:pt x="0" y="1288676"/>
              </a:cubicBezTo>
              <a:cubicBezTo>
                <a:pt x="-38500" y="1182745"/>
                <a:pt x="32737" y="962578"/>
                <a:pt x="0" y="751728"/>
              </a:cubicBezTo>
              <a:cubicBezTo>
                <a:pt x="-32737" y="540878"/>
                <a:pt x="67603" y="352295"/>
                <a:pt x="0" y="0"/>
              </a:cubicBezTo>
              <a:close/>
            </a:path>
          </a:pathLst>
        </a:custGeom>
        <a:solidFill>
          <a:schemeClr val="accent1">
            <a:lumMod val="20000"/>
            <a:lumOff val="80000"/>
          </a:schemeClr>
        </a:solidFill>
        <a:ln w="50800" cap="rnd" cmpd="sng">
          <a:solidFill>
            <a:schemeClr val="tx1">
              <a:lumMod val="75000"/>
            </a:schemeClr>
          </a:solidFill>
          <a:extLst>
            <a:ext uri="{C807C97D-BFC1-408E-A445-0C87EB9F89A2}">
              <ask:lineSketchStyleProps xmlns:ask="http://schemas.microsoft.com/office/drawing/2018/sketchyshapes" sd="1647863092">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HOW</a:t>
          </a:r>
          <a:r>
            <a:rPr lang="en-US" sz="1100" b="1" u="sng" baseline="0"/>
            <a:t> TO CORRECT ADDRESS:</a:t>
          </a:r>
        </a:p>
        <a:p>
          <a:endParaRPr lang="en-US" sz="1100" baseline="0"/>
        </a:p>
        <a:p>
          <a:r>
            <a:rPr lang="en-US" sz="1100"/>
            <a:t>1. Copy</a:t>
          </a:r>
          <a:r>
            <a:rPr lang="en-US" sz="1100" baseline="0"/>
            <a:t> Column J from DSD tab and paste in A2 of this worksheet.</a:t>
          </a:r>
        </a:p>
        <a:p>
          <a:r>
            <a:rPr lang="en-US" sz="1100" baseline="0"/>
            <a:t>2. Highlight column A</a:t>
          </a:r>
        </a:p>
        <a:p>
          <a:r>
            <a:rPr lang="en-US" sz="1100" baseline="0"/>
            <a:t>3. Select the "Text to Column" action</a:t>
          </a:r>
        </a:p>
        <a:p>
          <a:r>
            <a:rPr lang="en-US" sz="1100" baseline="0"/>
            <a:t>       a. S</a:t>
          </a:r>
          <a:r>
            <a:rPr lang="en-US" sz="1100"/>
            <a:t>elect delimited and click next</a:t>
          </a:r>
        </a:p>
        <a:p>
          <a:r>
            <a:rPr lang="en-US" sz="1100"/>
            <a:t>       b. Select the Tab, Comma, Space and Other box</a:t>
          </a:r>
        </a:p>
        <a:p>
          <a:r>
            <a:rPr lang="en-US" sz="1100"/>
            <a:t>               i. In Other box, put "|" (the vertical bar that is above the</a:t>
          </a:r>
        </a:p>
        <a:p>
          <a:r>
            <a:rPr lang="en-US" sz="1100"/>
            <a:t>                  "Enter" key on your keyboard) and click next</a:t>
          </a:r>
        </a:p>
        <a:p>
          <a:r>
            <a:rPr lang="en-US" sz="1100"/>
            <a:t>4. Keep</a:t>
          </a:r>
          <a:r>
            <a:rPr lang="en-US" sz="1100" baseline="0"/>
            <a:t> destination </a:t>
          </a:r>
          <a:r>
            <a:rPr lang="en-US" sz="1100"/>
            <a:t>$A$1.</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 </a:t>
          </a:r>
          <a:r>
            <a:rPr lang="en-US" sz="1100">
              <a:solidFill>
                <a:schemeClr val="dk1"/>
              </a:solidFill>
              <a:effectLst/>
              <a:latin typeface="+mn-lt"/>
              <a:ea typeface="+mn-ea"/>
              <a:cs typeface="+mn-cs"/>
            </a:rPr>
            <a:t>A pop up box will</a:t>
          </a:r>
          <a:r>
            <a:rPr lang="en-US" sz="1100" baseline="0">
              <a:solidFill>
                <a:schemeClr val="dk1"/>
              </a:solidFill>
              <a:effectLst/>
              <a:latin typeface="+mn-lt"/>
              <a:ea typeface="+mn-ea"/>
              <a:cs typeface="+mn-cs"/>
            </a:rPr>
            <a:t> warn that data already exisits in those</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fields, do you want to continue? Click "Yes"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b. Click "Finish"</a:t>
          </a:r>
          <a:endParaRPr lang="en-US">
            <a:effectLst/>
          </a:endParaRPr>
        </a:p>
        <a:p>
          <a:endParaRPr lang="en-US" sz="1100" baseline="0"/>
        </a:p>
        <a:p>
          <a:r>
            <a:rPr lang="en-US" sz="1100" baseline="0"/>
            <a:t>*Drag Column J down to completely capture all the address that are on the worksheet</a:t>
          </a:r>
        </a:p>
        <a:p>
          <a:endParaRPr lang="en-US" sz="1100" baseline="0"/>
        </a:p>
        <a:p>
          <a:r>
            <a:rPr lang="en-US" sz="1100" baseline="0"/>
            <a:t>*Column A of this worksheet should be placed in Column K on the DSD Tab</a:t>
          </a:r>
        </a:p>
        <a:p>
          <a:endParaRPr lang="en-US" sz="1100" baseline="0"/>
        </a:p>
        <a:p>
          <a:r>
            <a:rPr lang="en-US" sz="1100" baseline="0"/>
            <a:t>*Column J of this worksheet should be placed in Column J on the DSD Tab</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25400</xdr:colOff>
      <xdr:row>0</xdr:row>
      <xdr:rowOff>317500</xdr:rowOff>
    </xdr:from>
    <xdr:to>
      <xdr:col>8</xdr:col>
      <xdr:colOff>508000</xdr:colOff>
      <xdr:row>4</xdr:row>
      <xdr:rowOff>0</xdr:rowOff>
    </xdr:to>
    <xdr:sp macro="" textlink="">
      <xdr:nvSpPr>
        <xdr:cNvPr id="2" name="TextBox 1">
          <a:extLst>
            <a:ext uri="{FF2B5EF4-FFF2-40B4-BE49-F238E27FC236}">
              <a16:creationId xmlns:a16="http://schemas.microsoft.com/office/drawing/2014/main" id="{49B8BF47-8210-4C3F-83A0-573E687A3D7D}"/>
            </a:ext>
          </a:extLst>
        </xdr:cNvPr>
        <xdr:cNvSpPr txBox="1"/>
      </xdr:nvSpPr>
      <xdr:spPr>
        <a:xfrm>
          <a:off x="3759200" y="317500"/>
          <a:ext cx="2311400" cy="952500"/>
        </a:xfrm>
        <a:custGeom>
          <a:avLst/>
          <a:gdLst>
            <a:gd name="connsiteX0" fmla="*/ 0 w 2311400"/>
            <a:gd name="connsiteY0" fmla="*/ 0 h 952500"/>
            <a:gd name="connsiteX1" fmla="*/ 554736 w 2311400"/>
            <a:gd name="connsiteY1" fmla="*/ 0 h 952500"/>
            <a:gd name="connsiteX2" fmla="*/ 1132586 w 2311400"/>
            <a:gd name="connsiteY2" fmla="*/ 0 h 952500"/>
            <a:gd name="connsiteX3" fmla="*/ 1733550 w 2311400"/>
            <a:gd name="connsiteY3" fmla="*/ 0 h 952500"/>
            <a:gd name="connsiteX4" fmla="*/ 2311400 w 2311400"/>
            <a:gd name="connsiteY4" fmla="*/ 0 h 952500"/>
            <a:gd name="connsiteX5" fmla="*/ 2311400 w 2311400"/>
            <a:gd name="connsiteY5" fmla="*/ 485775 h 952500"/>
            <a:gd name="connsiteX6" fmla="*/ 2311400 w 2311400"/>
            <a:gd name="connsiteY6" fmla="*/ 952500 h 952500"/>
            <a:gd name="connsiteX7" fmla="*/ 1687322 w 2311400"/>
            <a:gd name="connsiteY7" fmla="*/ 952500 h 952500"/>
            <a:gd name="connsiteX8" fmla="*/ 1063244 w 2311400"/>
            <a:gd name="connsiteY8" fmla="*/ 952500 h 952500"/>
            <a:gd name="connsiteX9" fmla="*/ 0 w 2311400"/>
            <a:gd name="connsiteY9" fmla="*/ 952500 h 952500"/>
            <a:gd name="connsiteX10" fmla="*/ 0 w 2311400"/>
            <a:gd name="connsiteY10" fmla="*/ 485775 h 952500"/>
            <a:gd name="connsiteX11" fmla="*/ 0 w 2311400"/>
            <a:gd name="connsiteY11"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311400" h="952500" fill="none" extrusionOk="0">
              <a:moveTo>
                <a:pt x="0" y="0"/>
              </a:moveTo>
              <a:cubicBezTo>
                <a:pt x="257396" y="-23115"/>
                <a:pt x="414360" y="59695"/>
                <a:pt x="554736" y="0"/>
              </a:cubicBezTo>
              <a:cubicBezTo>
                <a:pt x="695112" y="-59695"/>
                <a:pt x="908296" y="68655"/>
                <a:pt x="1132586" y="0"/>
              </a:cubicBezTo>
              <a:cubicBezTo>
                <a:pt x="1356876" y="-68655"/>
                <a:pt x="1498390" y="49653"/>
                <a:pt x="1733550" y="0"/>
              </a:cubicBezTo>
              <a:cubicBezTo>
                <a:pt x="1968710" y="-49653"/>
                <a:pt x="2118743" y="5337"/>
                <a:pt x="2311400" y="0"/>
              </a:cubicBezTo>
              <a:cubicBezTo>
                <a:pt x="2352506" y="123077"/>
                <a:pt x="2256328" y="375437"/>
                <a:pt x="2311400" y="485775"/>
              </a:cubicBezTo>
              <a:cubicBezTo>
                <a:pt x="2366472" y="596114"/>
                <a:pt x="2274640" y="721143"/>
                <a:pt x="2311400" y="952500"/>
              </a:cubicBezTo>
              <a:cubicBezTo>
                <a:pt x="2005223" y="958884"/>
                <a:pt x="1936964" y="900665"/>
                <a:pt x="1687322" y="952500"/>
              </a:cubicBezTo>
              <a:cubicBezTo>
                <a:pt x="1437680" y="1004335"/>
                <a:pt x="1248802" y="924567"/>
                <a:pt x="1063244" y="952500"/>
              </a:cubicBezTo>
              <a:cubicBezTo>
                <a:pt x="877686" y="980433"/>
                <a:pt x="462144" y="907492"/>
                <a:pt x="0" y="952500"/>
              </a:cubicBezTo>
              <a:cubicBezTo>
                <a:pt x="-29178" y="822607"/>
                <a:pt x="51951" y="618723"/>
                <a:pt x="0" y="485775"/>
              </a:cubicBezTo>
              <a:cubicBezTo>
                <a:pt x="-51951" y="352827"/>
                <a:pt x="12141" y="191160"/>
                <a:pt x="0" y="0"/>
              </a:cubicBezTo>
              <a:close/>
            </a:path>
            <a:path w="2311400" h="952500" stroke="0" extrusionOk="0">
              <a:moveTo>
                <a:pt x="0" y="0"/>
              </a:moveTo>
              <a:cubicBezTo>
                <a:pt x="195358" y="-12610"/>
                <a:pt x="337797" y="13471"/>
                <a:pt x="554736" y="0"/>
              </a:cubicBezTo>
              <a:cubicBezTo>
                <a:pt x="771675" y="-13471"/>
                <a:pt x="949648" y="2850"/>
                <a:pt x="1063244" y="0"/>
              </a:cubicBezTo>
              <a:cubicBezTo>
                <a:pt x="1176840" y="-2850"/>
                <a:pt x="1531213" y="1064"/>
                <a:pt x="1687322" y="0"/>
              </a:cubicBezTo>
              <a:cubicBezTo>
                <a:pt x="1843431" y="-1064"/>
                <a:pt x="2045663" y="55524"/>
                <a:pt x="2311400" y="0"/>
              </a:cubicBezTo>
              <a:cubicBezTo>
                <a:pt x="2345647" y="175926"/>
                <a:pt x="2269110" y="368956"/>
                <a:pt x="2311400" y="466725"/>
              </a:cubicBezTo>
              <a:cubicBezTo>
                <a:pt x="2353690" y="564494"/>
                <a:pt x="2311098" y="811016"/>
                <a:pt x="2311400" y="952500"/>
              </a:cubicBezTo>
              <a:cubicBezTo>
                <a:pt x="2186035" y="1000523"/>
                <a:pt x="2015784" y="943417"/>
                <a:pt x="1733550" y="952500"/>
              </a:cubicBezTo>
              <a:cubicBezTo>
                <a:pt x="1451316" y="961583"/>
                <a:pt x="1328985" y="906234"/>
                <a:pt x="1109472" y="952500"/>
              </a:cubicBezTo>
              <a:cubicBezTo>
                <a:pt x="889959" y="998766"/>
                <a:pt x="728008" y="891997"/>
                <a:pt x="600964" y="952500"/>
              </a:cubicBezTo>
              <a:cubicBezTo>
                <a:pt x="473920" y="1013003"/>
                <a:pt x="291866" y="885244"/>
                <a:pt x="0" y="952500"/>
              </a:cubicBezTo>
              <a:cubicBezTo>
                <a:pt x="-16816" y="822116"/>
                <a:pt x="22338" y="707925"/>
                <a:pt x="0" y="476250"/>
              </a:cubicBezTo>
              <a:cubicBezTo>
                <a:pt x="-22338" y="244575"/>
                <a:pt x="17745" y="200268"/>
                <a:pt x="0" y="0"/>
              </a:cubicBezTo>
              <a:close/>
            </a:path>
          </a:pathLst>
        </a:custGeom>
        <a:solidFill>
          <a:schemeClr val="accent1">
            <a:lumMod val="20000"/>
            <a:lumOff val="80000"/>
          </a:schemeClr>
        </a:solidFill>
        <a:ln w="50800" cap="rnd" cmpd="thinThick">
          <a:solidFill>
            <a:schemeClr val="tx1">
              <a:lumMod val="75000"/>
            </a:schemeClr>
          </a:solidFill>
          <a:prstDash val="solid"/>
          <a:extLst>
            <a:ext uri="{C807C97D-BFC1-408E-A445-0C87EB9F89A2}">
              <ask:lineSketchStyleProps xmlns:ask="http://schemas.microsoft.com/office/drawing/2018/sketchyshapes" sd="1219033472">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u="none" baseline="0"/>
            <a:t>THIS IS A REFERENCE FOR CROSS DOCKING TO UPDATE THE SOURCE AND DELIVERY PLANTS ON THE LOAD TAB</a:t>
          </a:r>
          <a:endParaRPr lang="en-US" sz="1100" b="0" u="none"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1</xdr:row>
      <xdr:rowOff>0</xdr:rowOff>
    </xdr:from>
    <xdr:to>
      <xdr:col>7</xdr:col>
      <xdr:colOff>485588</xdr:colOff>
      <xdr:row>6</xdr:row>
      <xdr:rowOff>104588</xdr:rowOff>
    </xdr:to>
    <xdr:sp macro="" textlink="">
      <xdr:nvSpPr>
        <xdr:cNvPr id="2" name="TextBox 1">
          <a:extLst>
            <a:ext uri="{FF2B5EF4-FFF2-40B4-BE49-F238E27FC236}">
              <a16:creationId xmlns:a16="http://schemas.microsoft.com/office/drawing/2014/main" id="{40F1C72E-3307-49ED-8597-E46B60E555BB}"/>
            </a:ext>
          </a:extLst>
        </xdr:cNvPr>
        <xdr:cNvSpPr txBox="1"/>
      </xdr:nvSpPr>
      <xdr:spPr>
        <a:xfrm>
          <a:off x="4153647" y="186765"/>
          <a:ext cx="1710765" cy="1038411"/>
        </a:xfrm>
        <a:custGeom>
          <a:avLst/>
          <a:gdLst>
            <a:gd name="connsiteX0" fmla="*/ 0 w 1710765"/>
            <a:gd name="connsiteY0" fmla="*/ 0 h 1038411"/>
            <a:gd name="connsiteX1" fmla="*/ 553147 w 1710765"/>
            <a:gd name="connsiteY1" fmla="*/ 0 h 1038411"/>
            <a:gd name="connsiteX2" fmla="*/ 1123402 w 1710765"/>
            <a:gd name="connsiteY2" fmla="*/ 0 h 1038411"/>
            <a:gd name="connsiteX3" fmla="*/ 1710765 w 1710765"/>
            <a:gd name="connsiteY3" fmla="*/ 0 h 1038411"/>
            <a:gd name="connsiteX4" fmla="*/ 1710765 w 1710765"/>
            <a:gd name="connsiteY4" fmla="*/ 519206 h 1038411"/>
            <a:gd name="connsiteX5" fmla="*/ 1710765 w 1710765"/>
            <a:gd name="connsiteY5" fmla="*/ 1038411 h 1038411"/>
            <a:gd name="connsiteX6" fmla="*/ 1140510 w 1710765"/>
            <a:gd name="connsiteY6" fmla="*/ 1038411 h 1038411"/>
            <a:gd name="connsiteX7" fmla="*/ 604470 w 1710765"/>
            <a:gd name="connsiteY7" fmla="*/ 1038411 h 1038411"/>
            <a:gd name="connsiteX8" fmla="*/ 0 w 1710765"/>
            <a:gd name="connsiteY8" fmla="*/ 1038411 h 1038411"/>
            <a:gd name="connsiteX9" fmla="*/ 0 w 1710765"/>
            <a:gd name="connsiteY9" fmla="*/ 529590 h 1038411"/>
            <a:gd name="connsiteX10" fmla="*/ 0 w 1710765"/>
            <a:gd name="connsiteY10" fmla="*/ 0 h 103841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710765" h="1038411" fill="none" extrusionOk="0">
              <a:moveTo>
                <a:pt x="0" y="0"/>
              </a:moveTo>
              <a:cubicBezTo>
                <a:pt x="161671" y="-57150"/>
                <a:pt x="363818" y="54275"/>
                <a:pt x="553147" y="0"/>
              </a:cubicBezTo>
              <a:cubicBezTo>
                <a:pt x="742476" y="-54275"/>
                <a:pt x="872084" y="66702"/>
                <a:pt x="1123402" y="0"/>
              </a:cubicBezTo>
              <a:cubicBezTo>
                <a:pt x="1374721" y="-66702"/>
                <a:pt x="1470634" y="18033"/>
                <a:pt x="1710765" y="0"/>
              </a:cubicBezTo>
              <a:cubicBezTo>
                <a:pt x="1764478" y="240067"/>
                <a:pt x="1697838" y="285802"/>
                <a:pt x="1710765" y="519206"/>
              </a:cubicBezTo>
              <a:cubicBezTo>
                <a:pt x="1723692" y="752610"/>
                <a:pt x="1670539" y="825526"/>
                <a:pt x="1710765" y="1038411"/>
              </a:cubicBezTo>
              <a:cubicBezTo>
                <a:pt x="1559052" y="1064633"/>
                <a:pt x="1305599" y="991636"/>
                <a:pt x="1140510" y="1038411"/>
              </a:cubicBezTo>
              <a:cubicBezTo>
                <a:pt x="975422" y="1085186"/>
                <a:pt x="870691" y="1001920"/>
                <a:pt x="604470" y="1038411"/>
              </a:cubicBezTo>
              <a:cubicBezTo>
                <a:pt x="338249" y="1074902"/>
                <a:pt x="221878" y="1010598"/>
                <a:pt x="0" y="1038411"/>
              </a:cubicBezTo>
              <a:cubicBezTo>
                <a:pt x="-45957" y="906964"/>
                <a:pt x="32041" y="643153"/>
                <a:pt x="0" y="529590"/>
              </a:cubicBezTo>
              <a:cubicBezTo>
                <a:pt x="-32041" y="416027"/>
                <a:pt x="30593" y="125538"/>
                <a:pt x="0" y="0"/>
              </a:cubicBezTo>
              <a:close/>
            </a:path>
            <a:path w="1710765" h="1038411" stroke="0" extrusionOk="0">
              <a:moveTo>
                <a:pt x="0" y="0"/>
              </a:moveTo>
              <a:cubicBezTo>
                <a:pt x="118068" y="-24632"/>
                <a:pt x="325970" y="19065"/>
                <a:pt x="553147" y="0"/>
              </a:cubicBezTo>
              <a:cubicBezTo>
                <a:pt x="780324" y="-19065"/>
                <a:pt x="883020" y="25092"/>
                <a:pt x="1072079" y="0"/>
              </a:cubicBezTo>
              <a:cubicBezTo>
                <a:pt x="1261138" y="-25092"/>
                <a:pt x="1551704" y="12214"/>
                <a:pt x="1710765" y="0"/>
              </a:cubicBezTo>
              <a:cubicBezTo>
                <a:pt x="1767252" y="136909"/>
                <a:pt x="1659109" y="319808"/>
                <a:pt x="1710765" y="508821"/>
              </a:cubicBezTo>
              <a:cubicBezTo>
                <a:pt x="1762421" y="697834"/>
                <a:pt x="1676705" y="818127"/>
                <a:pt x="1710765" y="1038411"/>
              </a:cubicBezTo>
              <a:cubicBezTo>
                <a:pt x="1520357" y="1068884"/>
                <a:pt x="1292866" y="1010548"/>
                <a:pt x="1174725" y="1038411"/>
              </a:cubicBezTo>
              <a:cubicBezTo>
                <a:pt x="1056584" y="1066274"/>
                <a:pt x="776208" y="983860"/>
                <a:pt x="638686" y="1038411"/>
              </a:cubicBezTo>
              <a:cubicBezTo>
                <a:pt x="501164" y="1092962"/>
                <a:pt x="143943" y="1012452"/>
                <a:pt x="0" y="1038411"/>
              </a:cubicBezTo>
              <a:cubicBezTo>
                <a:pt x="-40752" y="828204"/>
                <a:pt x="26041" y="725424"/>
                <a:pt x="0" y="550358"/>
              </a:cubicBezTo>
              <a:cubicBezTo>
                <a:pt x="-26041" y="375292"/>
                <a:pt x="4290" y="241165"/>
                <a:pt x="0" y="0"/>
              </a:cubicBezTo>
              <a:close/>
            </a:path>
          </a:pathLst>
        </a:custGeom>
        <a:solidFill>
          <a:schemeClr val="accent1">
            <a:lumMod val="20000"/>
            <a:lumOff val="80000"/>
          </a:schemeClr>
        </a:solidFill>
        <a:ln w="50800" cap="rnd" cmpd="thinThick">
          <a:solidFill>
            <a:schemeClr val="tx1">
              <a:lumMod val="75000"/>
            </a:schemeClr>
          </a:solidFill>
          <a:prstDash val="solid"/>
          <a:extLst>
            <a:ext uri="{C807C97D-BFC1-408E-A445-0C87EB9F89A2}">
              <ask:lineSketchStyleProps xmlns:ask="http://schemas.microsoft.com/office/drawing/2018/sketchyshapes" sd="1219033472">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USE</a:t>
          </a:r>
          <a:r>
            <a:rPr lang="en-US" sz="1100" baseline="0"/>
            <a:t> THIS TAB TO VLOOKUP THE OLD ACCTS TO REPLACE WITH THE NEW ACCT NUMBERS</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374651</xdr:colOff>
      <xdr:row>0</xdr:row>
      <xdr:rowOff>158751</xdr:rowOff>
    </xdr:from>
    <xdr:to>
      <xdr:col>10</xdr:col>
      <xdr:colOff>57151</xdr:colOff>
      <xdr:row>4</xdr:row>
      <xdr:rowOff>171451</xdr:rowOff>
    </xdr:to>
    <xdr:sp macro="" textlink="">
      <xdr:nvSpPr>
        <xdr:cNvPr id="2" name="TextBox 1">
          <a:extLst>
            <a:ext uri="{FF2B5EF4-FFF2-40B4-BE49-F238E27FC236}">
              <a16:creationId xmlns:a16="http://schemas.microsoft.com/office/drawing/2014/main" id="{3D7D28A3-5AF7-4A3F-A92A-5E942A5D20A7}"/>
            </a:ext>
          </a:extLst>
        </xdr:cNvPr>
        <xdr:cNvSpPr txBox="1"/>
      </xdr:nvSpPr>
      <xdr:spPr>
        <a:xfrm>
          <a:off x="8451851" y="158751"/>
          <a:ext cx="1587500" cy="749300"/>
        </a:xfrm>
        <a:custGeom>
          <a:avLst/>
          <a:gdLst>
            <a:gd name="connsiteX0" fmla="*/ 0 w 1587500"/>
            <a:gd name="connsiteY0" fmla="*/ 0 h 749300"/>
            <a:gd name="connsiteX1" fmla="*/ 513292 w 1587500"/>
            <a:gd name="connsiteY1" fmla="*/ 0 h 749300"/>
            <a:gd name="connsiteX2" fmla="*/ 1042458 w 1587500"/>
            <a:gd name="connsiteY2" fmla="*/ 0 h 749300"/>
            <a:gd name="connsiteX3" fmla="*/ 1587500 w 1587500"/>
            <a:gd name="connsiteY3" fmla="*/ 0 h 749300"/>
            <a:gd name="connsiteX4" fmla="*/ 1587500 w 1587500"/>
            <a:gd name="connsiteY4" fmla="*/ 374650 h 749300"/>
            <a:gd name="connsiteX5" fmla="*/ 1587500 w 1587500"/>
            <a:gd name="connsiteY5" fmla="*/ 749300 h 749300"/>
            <a:gd name="connsiteX6" fmla="*/ 1058333 w 1587500"/>
            <a:gd name="connsiteY6" fmla="*/ 749300 h 749300"/>
            <a:gd name="connsiteX7" fmla="*/ 560917 w 1587500"/>
            <a:gd name="connsiteY7" fmla="*/ 749300 h 749300"/>
            <a:gd name="connsiteX8" fmla="*/ 0 w 1587500"/>
            <a:gd name="connsiteY8" fmla="*/ 749300 h 749300"/>
            <a:gd name="connsiteX9" fmla="*/ 0 w 1587500"/>
            <a:gd name="connsiteY9" fmla="*/ 382143 h 749300"/>
            <a:gd name="connsiteX10" fmla="*/ 0 w 1587500"/>
            <a:gd name="connsiteY10" fmla="*/ 0 h 749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587500" h="749300" fill="none" extrusionOk="0">
              <a:moveTo>
                <a:pt x="0" y="0"/>
              </a:moveTo>
              <a:cubicBezTo>
                <a:pt x="164207" y="-54947"/>
                <a:pt x="347558" y="36343"/>
                <a:pt x="513292" y="0"/>
              </a:cubicBezTo>
              <a:cubicBezTo>
                <a:pt x="679026" y="-36343"/>
                <a:pt x="813249" y="4067"/>
                <a:pt x="1042458" y="0"/>
              </a:cubicBezTo>
              <a:cubicBezTo>
                <a:pt x="1271667" y="-4067"/>
                <a:pt x="1443388" y="31768"/>
                <a:pt x="1587500" y="0"/>
              </a:cubicBezTo>
              <a:cubicBezTo>
                <a:pt x="1600379" y="105929"/>
                <a:pt x="1558943" y="278137"/>
                <a:pt x="1587500" y="374650"/>
              </a:cubicBezTo>
              <a:cubicBezTo>
                <a:pt x="1616057" y="471163"/>
                <a:pt x="1545468" y="643667"/>
                <a:pt x="1587500" y="749300"/>
              </a:cubicBezTo>
              <a:cubicBezTo>
                <a:pt x="1472926" y="789918"/>
                <a:pt x="1294732" y="711864"/>
                <a:pt x="1058333" y="749300"/>
              </a:cubicBezTo>
              <a:cubicBezTo>
                <a:pt x="821934" y="786736"/>
                <a:pt x="744583" y="744188"/>
                <a:pt x="560917" y="749300"/>
              </a:cubicBezTo>
              <a:cubicBezTo>
                <a:pt x="377251" y="754412"/>
                <a:pt x="175227" y="715651"/>
                <a:pt x="0" y="749300"/>
              </a:cubicBezTo>
              <a:cubicBezTo>
                <a:pt x="-3745" y="592691"/>
                <a:pt x="14750" y="474755"/>
                <a:pt x="0" y="382143"/>
              </a:cubicBezTo>
              <a:cubicBezTo>
                <a:pt x="-14750" y="289531"/>
                <a:pt x="35714" y="106801"/>
                <a:pt x="0" y="0"/>
              </a:cubicBezTo>
              <a:close/>
            </a:path>
            <a:path w="1587500" h="749300" stroke="0" extrusionOk="0">
              <a:moveTo>
                <a:pt x="0" y="0"/>
              </a:moveTo>
              <a:cubicBezTo>
                <a:pt x="235666" y="-27723"/>
                <a:pt x="336461" y="54655"/>
                <a:pt x="513292" y="0"/>
              </a:cubicBezTo>
              <a:cubicBezTo>
                <a:pt x="690123" y="-54655"/>
                <a:pt x="888731" y="3637"/>
                <a:pt x="994833" y="0"/>
              </a:cubicBezTo>
              <a:cubicBezTo>
                <a:pt x="1100935" y="-3637"/>
                <a:pt x="1316897" y="45312"/>
                <a:pt x="1587500" y="0"/>
              </a:cubicBezTo>
              <a:cubicBezTo>
                <a:pt x="1603985" y="86097"/>
                <a:pt x="1582009" y="187201"/>
                <a:pt x="1587500" y="367157"/>
              </a:cubicBezTo>
              <a:cubicBezTo>
                <a:pt x="1592991" y="547113"/>
                <a:pt x="1542650" y="609792"/>
                <a:pt x="1587500" y="749300"/>
              </a:cubicBezTo>
              <a:cubicBezTo>
                <a:pt x="1476836" y="754254"/>
                <a:pt x="1297208" y="747940"/>
                <a:pt x="1090083" y="749300"/>
              </a:cubicBezTo>
              <a:cubicBezTo>
                <a:pt x="882958" y="750660"/>
                <a:pt x="720368" y="703809"/>
                <a:pt x="592667" y="749300"/>
              </a:cubicBezTo>
              <a:cubicBezTo>
                <a:pt x="464966" y="794791"/>
                <a:pt x="197213" y="725081"/>
                <a:pt x="0" y="749300"/>
              </a:cubicBezTo>
              <a:cubicBezTo>
                <a:pt x="-30694" y="636099"/>
                <a:pt x="34359" y="507172"/>
                <a:pt x="0" y="397129"/>
              </a:cubicBezTo>
              <a:cubicBezTo>
                <a:pt x="-34359" y="287086"/>
                <a:pt x="11937" y="97116"/>
                <a:pt x="0" y="0"/>
              </a:cubicBezTo>
              <a:close/>
            </a:path>
          </a:pathLst>
        </a:custGeom>
        <a:solidFill>
          <a:schemeClr val="accent1">
            <a:lumMod val="20000"/>
            <a:lumOff val="80000"/>
          </a:schemeClr>
        </a:solidFill>
        <a:ln w="50800" cap="rnd" cmpd="thinThick">
          <a:solidFill>
            <a:schemeClr val="tx1">
              <a:lumMod val="75000"/>
            </a:schemeClr>
          </a:solidFill>
          <a:prstDash val="solid"/>
          <a:extLst>
            <a:ext uri="{C807C97D-BFC1-408E-A445-0C87EB9F89A2}">
              <ask:lineSketchStyleProps xmlns:ask="http://schemas.microsoft.com/office/drawing/2018/sketchyshapes" sd="1219033472">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CMM</a:t>
          </a:r>
          <a:r>
            <a:rPr lang="en-US" sz="1100" baseline="0"/>
            <a:t> TEMPLATE TO RUN AFTER NEW ACCTS HAVE BEEN CREATED</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654050</xdr:colOff>
      <xdr:row>12</xdr:row>
      <xdr:rowOff>114300</xdr:rowOff>
    </xdr:from>
    <xdr:to>
      <xdr:col>5</xdr:col>
      <xdr:colOff>165100</xdr:colOff>
      <xdr:row>16</xdr:row>
      <xdr:rowOff>127000</xdr:rowOff>
    </xdr:to>
    <xdr:sp macro="" textlink="">
      <xdr:nvSpPr>
        <xdr:cNvPr id="2" name="TextBox 1">
          <a:extLst>
            <a:ext uri="{FF2B5EF4-FFF2-40B4-BE49-F238E27FC236}">
              <a16:creationId xmlns:a16="http://schemas.microsoft.com/office/drawing/2014/main" id="{C6989808-0879-4502-AE2A-39798080BF2B}"/>
            </a:ext>
          </a:extLst>
        </xdr:cNvPr>
        <xdr:cNvSpPr txBox="1"/>
      </xdr:nvSpPr>
      <xdr:spPr>
        <a:xfrm>
          <a:off x="3854450" y="2330450"/>
          <a:ext cx="1587500" cy="749300"/>
        </a:xfrm>
        <a:custGeom>
          <a:avLst/>
          <a:gdLst>
            <a:gd name="connsiteX0" fmla="*/ 0 w 1587500"/>
            <a:gd name="connsiteY0" fmla="*/ 0 h 749300"/>
            <a:gd name="connsiteX1" fmla="*/ 513292 w 1587500"/>
            <a:gd name="connsiteY1" fmla="*/ 0 h 749300"/>
            <a:gd name="connsiteX2" fmla="*/ 1042458 w 1587500"/>
            <a:gd name="connsiteY2" fmla="*/ 0 h 749300"/>
            <a:gd name="connsiteX3" fmla="*/ 1587500 w 1587500"/>
            <a:gd name="connsiteY3" fmla="*/ 0 h 749300"/>
            <a:gd name="connsiteX4" fmla="*/ 1587500 w 1587500"/>
            <a:gd name="connsiteY4" fmla="*/ 374650 h 749300"/>
            <a:gd name="connsiteX5" fmla="*/ 1587500 w 1587500"/>
            <a:gd name="connsiteY5" fmla="*/ 749300 h 749300"/>
            <a:gd name="connsiteX6" fmla="*/ 1058333 w 1587500"/>
            <a:gd name="connsiteY6" fmla="*/ 749300 h 749300"/>
            <a:gd name="connsiteX7" fmla="*/ 560917 w 1587500"/>
            <a:gd name="connsiteY7" fmla="*/ 749300 h 749300"/>
            <a:gd name="connsiteX8" fmla="*/ 0 w 1587500"/>
            <a:gd name="connsiteY8" fmla="*/ 749300 h 749300"/>
            <a:gd name="connsiteX9" fmla="*/ 0 w 1587500"/>
            <a:gd name="connsiteY9" fmla="*/ 382143 h 749300"/>
            <a:gd name="connsiteX10" fmla="*/ 0 w 1587500"/>
            <a:gd name="connsiteY10" fmla="*/ 0 h 749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587500" h="749300" fill="none" extrusionOk="0">
              <a:moveTo>
                <a:pt x="0" y="0"/>
              </a:moveTo>
              <a:cubicBezTo>
                <a:pt x="164207" y="-54947"/>
                <a:pt x="347558" y="36343"/>
                <a:pt x="513292" y="0"/>
              </a:cubicBezTo>
              <a:cubicBezTo>
                <a:pt x="679026" y="-36343"/>
                <a:pt x="813249" y="4067"/>
                <a:pt x="1042458" y="0"/>
              </a:cubicBezTo>
              <a:cubicBezTo>
                <a:pt x="1271667" y="-4067"/>
                <a:pt x="1443388" y="31768"/>
                <a:pt x="1587500" y="0"/>
              </a:cubicBezTo>
              <a:cubicBezTo>
                <a:pt x="1600379" y="105929"/>
                <a:pt x="1558943" y="278137"/>
                <a:pt x="1587500" y="374650"/>
              </a:cubicBezTo>
              <a:cubicBezTo>
                <a:pt x="1616057" y="471163"/>
                <a:pt x="1545468" y="643667"/>
                <a:pt x="1587500" y="749300"/>
              </a:cubicBezTo>
              <a:cubicBezTo>
                <a:pt x="1472926" y="789918"/>
                <a:pt x="1294732" y="711864"/>
                <a:pt x="1058333" y="749300"/>
              </a:cubicBezTo>
              <a:cubicBezTo>
                <a:pt x="821934" y="786736"/>
                <a:pt x="744583" y="744188"/>
                <a:pt x="560917" y="749300"/>
              </a:cubicBezTo>
              <a:cubicBezTo>
                <a:pt x="377251" y="754412"/>
                <a:pt x="175227" y="715651"/>
                <a:pt x="0" y="749300"/>
              </a:cubicBezTo>
              <a:cubicBezTo>
                <a:pt x="-3745" y="592691"/>
                <a:pt x="14750" y="474755"/>
                <a:pt x="0" y="382143"/>
              </a:cubicBezTo>
              <a:cubicBezTo>
                <a:pt x="-14750" y="289531"/>
                <a:pt x="35714" y="106801"/>
                <a:pt x="0" y="0"/>
              </a:cubicBezTo>
              <a:close/>
            </a:path>
            <a:path w="1587500" h="749300" stroke="0" extrusionOk="0">
              <a:moveTo>
                <a:pt x="0" y="0"/>
              </a:moveTo>
              <a:cubicBezTo>
                <a:pt x="235666" y="-27723"/>
                <a:pt x="336461" y="54655"/>
                <a:pt x="513292" y="0"/>
              </a:cubicBezTo>
              <a:cubicBezTo>
                <a:pt x="690123" y="-54655"/>
                <a:pt x="888731" y="3637"/>
                <a:pt x="994833" y="0"/>
              </a:cubicBezTo>
              <a:cubicBezTo>
                <a:pt x="1100935" y="-3637"/>
                <a:pt x="1316897" y="45312"/>
                <a:pt x="1587500" y="0"/>
              </a:cubicBezTo>
              <a:cubicBezTo>
                <a:pt x="1603985" y="86097"/>
                <a:pt x="1582009" y="187201"/>
                <a:pt x="1587500" y="367157"/>
              </a:cubicBezTo>
              <a:cubicBezTo>
                <a:pt x="1592991" y="547113"/>
                <a:pt x="1542650" y="609792"/>
                <a:pt x="1587500" y="749300"/>
              </a:cubicBezTo>
              <a:cubicBezTo>
                <a:pt x="1476836" y="754254"/>
                <a:pt x="1297208" y="747940"/>
                <a:pt x="1090083" y="749300"/>
              </a:cubicBezTo>
              <a:cubicBezTo>
                <a:pt x="882958" y="750660"/>
                <a:pt x="720368" y="703809"/>
                <a:pt x="592667" y="749300"/>
              </a:cubicBezTo>
              <a:cubicBezTo>
                <a:pt x="464966" y="794791"/>
                <a:pt x="197213" y="725081"/>
                <a:pt x="0" y="749300"/>
              </a:cubicBezTo>
              <a:cubicBezTo>
                <a:pt x="-30694" y="636099"/>
                <a:pt x="34359" y="507172"/>
                <a:pt x="0" y="397129"/>
              </a:cubicBezTo>
              <a:cubicBezTo>
                <a:pt x="-34359" y="287086"/>
                <a:pt x="11937" y="97116"/>
                <a:pt x="0" y="0"/>
              </a:cubicBezTo>
              <a:close/>
            </a:path>
          </a:pathLst>
        </a:custGeom>
        <a:solidFill>
          <a:schemeClr val="accent1">
            <a:lumMod val="20000"/>
            <a:lumOff val="80000"/>
          </a:schemeClr>
        </a:solidFill>
        <a:ln w="50800" cap="rnd" cmpd="thinThick">
          <a:solidFill>
            <a:schemeClr val="tx1">
              <a:lumMod val="75000"/>
            </a:schemeClr>
          </a:solidFill>
          <a:prstDash val="solid"/>
          <a:extLst>
            <a:ext uri="{C807C97D-BFC1-408E-A445-0C87EB9F89A2}">
              <ask:lineSketchStyleProps xmlns:ask="http://schemas.microsoft.com/office/drawing/2018/sketchyshapes" sd="1219033472">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CMM</a:t>
          </a:r>
          <a:r>
            <a:rPr lang="en-US" sz="1100" baseline="0"/>
            <a:t> TEMPLATE TO RUN AFTER NEW ACCTS HAVE BEEN CREATED</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3810000</xdr:colOff>
      <xdr:row>18</xdr:row>
      <xdr:rowOff>38100</xdr:rowOff>
    </xdr:from>
    <xdr:ext cx="3924502" cy="1849120"/>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609600" y="3352800"/>
          <a:ext cx="3924502" cy="1849120"/>
        </a:xfrm>
        <a:prstGeom prst="rect">
          <a:avLst/>
        </a:prstGeom>
      </xdr:spPr>
    </xdr:pic>
    <xdr:clientData/>
  </xdr:oneCellAnchor>
  <xdr:oneCellAnchor>
    <xdr:from>
      <xdr:col>0</xdr:col>
      <xdr:colOff>137160</xdr:colOff>
      <xdr:row>18</xdr:row>
      <xdr:rowOff>38100</xdr:rowOff>
    </xdr:from>
    <xdr:ext cx="3459480" cy="1839750"/>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137160" y="3352800"/>
          <a:ext cx="3459480" cy="1839750"/>
        </a:xfrm>
        <a:prstGeom prst="rect">
          <a:avLst/>
        </a:prstGeom>
      </xdr:spPr>
    </xdr:pic>
    <xdr:clientData/>
  </xdr:oneCellAnchor>
  <xdr:oneCellAnchor>
    <xdr:from>
      <xdr:col>0</xdr:col>
      <xdr:colOff>129540</xdr:colOff>
      <xdr:row>1</xdr:row>
      <xdr:rowOff>45720</xdr:rowOff>
    </xdr:from>
    <xdr:ext cx="3533580" cy="2767390"/>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a:stretch>
          <a:fillRect/>
        </a:stretch>
      </xdr:blipFill>
      <xdr:spPr>
        <a:xfrm>
          <a:off x="129540" y="229870"/>
          <a:ext cx="3533580" cy="2767390"/>
        </a:xfrm>
        <a:prstGeom prst="rect">
          <a:avLst/>
        </a:prstGeom>
      </xdr:spPr>
    </xdr:pic>
    <xdr:clientData/>
  </xdr:oneCellAnchor>
  <xdr:oneCellAnchor>
    <xdr:from>
      <xdr:col>0</xdr:col>
      <xdr:colOff>114301</xdr:colOff>
      <xdr:row>30</xdr:row>
      <xdr:rowOff>68580</xdr:rowOff>
    </xdr:from>
    <xdr:ext cx="5294942" cy="2209800"/>
    <xdr:pic>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4"/>
        <a:stretch>
          <a:fillRect/>
        </a:stretch>
      </xdr:blipFill>
      <xdr:spPr>
        <a:xfrm>
          <a:off x="114301" y="5593080"/>
          <a:ext cx="5294942" cy="2209800"/>
        </a:xfrm>
        <a:prstGeom prst="rect">
          <a:avLst/>
        </a:prstGeom>
      </xdr:spPr>
    </xdr:pic>
    <xdr:clientData/>
  </xdr:oneCellAnchor>
  <xdr:oneCellAnchor>
    <xdr:from>
      <xdr:col>0</xdr:col>
      <xdr:colOff>144780</xdr:colOff>
      <xdr:row>44</xdr:row>
      <xdr:rowOff>53341</xdr:rowOff>
    </xdr:from>
    <xdr:ext cx="5311140" cy="3085536"/>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5"/>
        <a:stretch>
          <a:fillRect/>
        </a:stretch>
      </xdr:blipFill>
      <xdr:spPr>
        <a:xfrm>
          <a:off x="144780" y="8155941"/>
          <a:ext cx="5311140" cy="3085536"/>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2</xdr:col>
      <xdr:colOff>208743</xdr:colOff>
      <xdr:row>5</xdr:row>
      <xdr:rowOff>168494</xdr:rowOff>
    </xdr:from>
    <xdr:to>
      <xdr:col>6</xdr:col>
      <xdr:colOff>136769</xdr:colOff>
      <xdr:row>11</xdr:row>
      <xdr:rowOff>146539</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860243" y="1096571"/>
          <a:ext cx="2370334" cy="1091737"/>
        </a:xfrm>
        <a:custGeom>
          <a:avLst/>
          <a:gdLst>
            <a:gd name="connsiteX0" fmla="*/ 0 w 2370334"/>
            <a:gd name="connsiteY0" fmla="*/ 0 h 1091737"/>
            <a:gd name="connsiteX1" fmla="*/ 568880 w 2370334"/>
            <a:gd name="connsiteY1" fmla="*/ 0 h 1091737"/>
            <a:gd name="connsiteX2" fmla="*/ 1161464 w 2370334"/>
            <a:gd name="connsiteY2" fmla="*/ 0 h 1091737"/>
            <a:gd name="connsiteX3" fmla="*/ 1777751 w 2370334"/>
            <a:gd name="connsiteY3" fmla="*/ 0 h 1091737"/>
            <a:gd name="connsiteX4" fmla="*/ 2370334 w 2370334"/>
            <a:gd name="connsiteY4" fmla="*/ 0 h 1091737"/>
            <a:gd name="connsiteX5" fmla="*/ 2370334 w 2370334"/>
            <a:gd name="connsiteY5" fmla="*/ 556786 h 1091737"/>
            <a:gd name="connsiteX6" fmla="*/ 2370334 w 2370334"/>
            <a:gd name="connsiteY6" fmla="*/ 1091737 h 1091737"/>
            <a:gd name="connsiteX7" fmla="*/ 1730344 w 2370334"/>
            <a:gd name="connsiteY7" fmla="*/ 1091737 h 1091737"/>
            <a:gd name="connsiteX8" fmla="*/ 1090354 w 2370334"/>
            <a:gd name="connsiteY8" fmla="*/ 1091737 h 1091737"/>
            <a:gd name="connsiteX9" fmla="*/ 0 w 2370334"/>
            <a:gd name="connsiteY9" fmla="*/ 1091737 h 1091737"/>
            <a:gd name="connsiteX10" fmla="*/ 0 w 2370334"/>
            <a:gd name="connsiteY10" fmla="*/ 556786 h 1091737"/>
            <a:gd name="connsiteX11" fmla="*/ 0 w 2370334"/>
            <a:gd name="connsiteY11" fmla="*/ 0 h 10917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370334" h="1091737" fill="none" extrusionOk="0">
              <a:moveTo>
                <a:pt x="0" y="0"/>
              </a:moveTo>
              <a:cubicBezTo>
                <a:pt x="281125" y="-26959"/>
                <a:pt x="319556" y="62117"/>
                <a:pt x="568880" y="0"/>
              </a:cubicBezTo>
              <a:cubicBezTo>
                <a:pt x="818204" y="-62117"/>
                <a:pt x="870069" y="42245"/>
                <a:pt x="1161464" y="0"/>
              </a:cubicBezTo>
              <a:cubicBezTo>
                <a:pt x="1452859" y="-42245"/>
                <a:pt x="1507875" y="64769"/>
                <a:pt x="1777751" y="0"/>
              </a:cubicBezTo>
              <a:cubicBezTo>
                <a:pt x="2047627" y="-64769"/>
                <a:pt x="2243034" y="34453"/>
                <a:pt x="2370334" y="0"/>
              </a:cubicBezTo>
              <a:cubicBezTo>
                <a:pt x="2407257" y="241439"/>
                <a:pt x="2336062" y="387263"/>
                <a:pt x="2370334" y="556786"/>
              </a:cubicBezTo>
              <a:cubicBezTo>
                <a:pt x="2404606" y="726309"/>
                <a:pt x="2309140" y="854752"/>
                <a:pt x="2370334" y="1091737"/>
              </a:cubicBezTo>
              <a:cubicBezTo>
                <a:pt x="2182450" y="1137264"/>
                <a:pt x="1880706" y="1054785"/>
                <a:pt x="1730344" y="1091737"/>
              </a:cubicBezTo>
              <a:cubicBezTo>
                <a:pt x="1579982" y="1128689"/>
                <a:pt x="1387520" y="1076552"/>
                <a:pt x="1090354" y="1091737"/>
              </a:cubicBezTo>
              <a:cubicBezTo>
                <a:pt x="793188" y="1106922"/>
                <a:pt x="498595" y="973198"/>
                <a:pt x="0" y="1091737"/>
              </a:cubicBezTo>
              <a:cubicBezTo>
                <a:pt x="-47979" y="983669"/>
                <a:pt x="53766" y="787591"/>
                <a:pt x="0" y="556786"/>
              </a:cubicBezTo>
              <a:cubicBezTo>
                <a:pt x="-53766" y="325981"/>
                <a:pt x="47604" y="278108"/>
                <a:pt x="0" y="0"/>
              </a:cubicBezTo>
              <a:close/>
            </a:path>
            <a:path w="2370334" h="1091737" stroke="0" extrusionOk="0">
              <a:moveTo>
                <a:pt x="0" y="0"/>
              </a:moveTo>
              <a:cubicBezTo>
                <a:pt x="130606" y="-36771"/>
                <a:pt x="384922" y="9577"/>
                <a:pt x="568880" y="0"/>
              </a:cubicBezTo>
              <a:cubicBezTo>
                <a:pt x="752838" y="-9577"/>
                <a:pt x="865288" y="57319"/>
                <a:pt x="1090354" y="0"/>
              </a:cubicBezTo>
              <a:cubicBezTo>
                <a:pt x="1315420" y="-57319"/>
                <a:pt x="1517693" y="69467"/>
                <a:pt x="1730344" y="0"/>
              </a:cubicBezTo>
              <a:cubicBezTo>
                <a:pt x="1942995" y="-69467"/>
                <a:pt x="2164294" y="14780"/>
                <a:pt x="2370334" y="0"/>
              </a:cubicBezTo>
              <a:cubicBezTo>
                <a:pt x="2407585" y="149697"/>
                <a:pt x="2341985" y="285055"/>
                <a:pt x="2370334" y="534951"/>
              </a:cubicBezTo>
              <a:cubicBezTo>
                <a:pt x="2398683" y="784847"/>
                <a:pt x="2306574" y="889543"/>
                <a:pt x="2370334" y="1091737"/>
              </a:cubicBezTo>
              <a:cubicBezTo>
                <a:pt x="2175717" y="1159174"/>
                <a:pt x="1950975" y="1057203"/>
                <a:pt x="1777751" y="1091737"/>
              </a:cubicBezTo>
              <a:cubicBezTo>
                <a:pt x="1604527" y="1126271"/>
                <a:pt x="1428253" y="1085128"/>
                <a:pt x="1137760" y="1091737"/>
              </a:cubicBezTo>
              <a:cubicBezTo>
                <a:pt x="847267" y="1098346"/>
                <a:pt x="813270" y="1030241"/>
                <a:pt x="616287" y="1091737"/>
              </a:cubicBezTo>
              <a:cubicBezTo>
                <a:pt x="419304" y="1153233"/>
                <a:pt x="287510" y="1038952"/>
                <a:pt x="0" y="1091737"/>
              </a:cubicBezTo>
              <a:cubicBezTo>
                <a:pt x="-60093" y="968348"/>
                <a:pt x="46458" y="717750"/>
                <a:pt x="0" y="545869"/>
              </a:cubicBezTo>
              <a:cubicBezTo>
                <a:pt x="-46458" y="373988"/>
                <a:pt x="14683" y="113406"/>
                <a:pt x="0" y="0"/>
              </a:cubicBezTo>
              <a:close/>
            </a:path>
          </a:pathLst>
        </a:custGeom>
        <a:solidFill>
          <a:schemeClr val="accent1">
            <a:lumMod val="20000"/>
            <a:lumOff val="80000"/>
          </a:schemeClr>
        </a:solidFill>
        <a:ln w="50800" cap="rnd" cmpd="sng">
          <a:solidFill>
            <a:schemeClr val="tx1">
              <a:lumMod val="75000"/>
            </a:schemeClr>
          </a:solidFill>
          <a:extLst>
            <a:ext uri="{C807C97D-BFC1-408E-A445-0C87EB9F89A2}">
              <ask:lineSketchStyleProps xmlns:ask="http://schemas.microsoft.com/office/drawing/2018/sketchyshapes" sd="1219033472">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t>No two acquisitions are alike!  This</a:t>
          </a:r>
          <a:r>
            <a:rPr lang="en-US" sz="1200" baseline="0"/>
            <a:t> is a general guideline to ensure the basics are covered.  Please reach out to the SME or fellow teammates when in doubt.</a:t>
          </a:r>
          <a:endParaRPr lang="en-US" sz="1200"/>
        </a:p>
      </xdr:txBody>
    </xdr:sp>
    <xdr:clientData/>
  </xdr:twoCellAnchor>
  <mc:AlternateContent xmlns:mc="http://schemas.openxmlformats.org/markup-compatibility/2006">
    <mc:Choice xmlns:a14="http://schemas.microsoft.com/office/drawing/2010/main" Requires="a14">
      <xdr:twoCellAnchor editAs="oneCell">
        <xdr:from>
          <xdr:col>0</xdr:col>
          <xdr:colOff>571500</xdr:colOff>
          <xdr:row>0</xdr:row>
          <xdr:rowOff>158750</xdr:rowOff>
        </xdr:from>
        <xdr:to>
          <xdr:col>1</xdr:col>
          <xdr:colOff>3683000</xdr:colOff>
          <xdr:row>2</xdr:row>
          <xdr:rowOff>50800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Review submitted workbook to ensure all information is provided and valid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1</xdr:row>
          <xdr:rowOff>127000</xdr:rowOff>
        </xdr:from>
        <xdr:to>
          <xdr:col>1</xdr:col>
          <xdr:colOff>4851400</xdr:colOff>
          <xdr:row>3</xdr:row>
          <xdr:rowOff>44450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00000000-0008-0000-0D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Remove any suppressed accts and notify CDM that the suppressed accts will not be included in the acquisition (DO NOT CREATE NEW ACCTS FOR SUPPRESSED ACCTS)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4</xdr:row>
          <xdr:rowOff>152400</xdr:rowOff>
        </xdr:from>
        <xdr:to>
          <xdr:col>1</xdr:col>
          <xdr:colOff>2254250</xdr:colOff>
          <xdr:row>6</xdr:row>
          <xdr:rowOff>38100</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00000000-0008-0000-0D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Update Trade/Global name fields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565150</xdr:colOff>
          <xdr:row>8</xdr:row>
          <xdr:rowOff>19050</xdr:rowOff>
        </xdr:from>
        <xdr:to>
          <xdr:col>1</xdr:col>
          <xdr:colOff>901700</xdr:colOff>
          <xdr:row>8</xdr:row>
          <xdr:rowOff>171450</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id="{00000000-0008-0000-0D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Update AML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15</xdr:row>
          <xdr:rowOff>171450</xdr:rowOff>
        </xdr:from>
        <xdr:to>
          <xdr:col>1</xdr:col>
          <xdr:colOff>1657350</xdr:colOff>
          <xdr:row>17</xdr:row>
          <xdr:rowOff>19050</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id="{00000000-0008-0000-0D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Time Window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5</xdr:row>
          <xdr:rowOff>171450</xdr:rowOff>
        </xdr:from>
        <xdr:to>
          <xdr:col>1</xdr:col>
          <xdr:colOff>692150</xdr:colOff>
          <xdr:row>7</xdr:row>
          <xdr:rowOff>19050</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Update PG/SG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10</xdr:row>
          <xdr:rowOff>165100</xdr:rowOff>
        </xdr:from>
        <xdr:to>
          <xdr:col>1</xdr:col>
          <xdr:colOff>3009900</xdr:colOff>
          <xdr:row>12</xdr:row>
          <xdr:rowOff>12700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id="{00000000-0008-0000-0D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Run CMC to get new numbers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17</xdr:row>
          <xdr:rowOff>177800</xdr:rowOff>
        </xdr:from>
        <xdr:to>
          <xdr:col>1</xdr:col>
          <xdr:colOff>1409700</xdr:colOff>
          <xdr:row>19</xdr:row>
          <xdr:rowOff>25400</xdr:rowOff>
        </xdr:to>
        <xdr:sp macro="" textlink="">
          <xdr:nvSpPr>
            <xdr:cNvPr id="20488" name="Check Box 8" hidden="1">
              <a:extLst>
                <a:ext uri="{63B3BB69-23CF-44E3-9099-C40C66FF867C}">
                  <a14:compatExt spid="_x0000_s20488"/>
                </a:ext>
                <a:ext uri="{FF2B5EF4-FFF2-40B4-BE49-F238E27FC236}">
                  <a16:creationId xmlns:a16="http://schemas.microsoft.com/office/drawing/2014/main" id="{00000000-0008-0000-0D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Visit Plans: Z7, ZR, 03, ZA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8</xdr:row>
          <xdr:rowOff>165100</xdr:rowOff>
        </xdr:from>
        <xdr:to>
          <xdr:col>1</xdr:col>
          <xdr:colOff>2717800</xdr:colOff>
          <xdr:row>10</xdr:row>
          <xdr:rowOff>12700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00000000-0008-0000-0D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Update TAX CLASSIFICATION to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6</xdr:row>
          <xdr:rowOff>171450</xdr:rowOff>
        </xdr:from>
        <xdr:to>
          <xdr:col>1</xdr:col>
          <xdr:colOff>749300</xdr:colOff>
          <xdr:row>8</xdr:row>
          <xdr:rowOff>19050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0D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Update OB/MB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565150</xdr:colOff>
          <xdr:row>3</xdr:row>
          <xdr:rowOff>139700</xdr:rowOff>
        </xdr:from>
        <xdr:to>
          <xdr:col>1</xdr:col>
          <xdr:colOff>4152900</xdr:colOff>
          <xdr:row>5</xdr:row>
          <xdr:rowOff>50800</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0000000-0008-0000-0D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Parse ADDRESS to Street and House Number (using STREET tab)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9</xdr:row>
          <xdr:rowOff>171450</xdr:rowOff>
        </xdr:from>
        <xdr:to>
          <xdr:col>1</xdr:col>
          <xdr:colOff>1905000</xdr:colOff>
          <xdr:row>11</xdr:row>
          <xdr:rowOff>19050</xdr:rowOff>
        </xdr:to>
        <xdr:sp macro="" textlink="">
          <xdr:nvSpPr>
            <xdr:cNvPr id="20493" name="Check Box 13" hidden="1">
              <a:extLst>
                <a:ext uri="{63B3BB69-23CF-44E3-9099-C40C66FF867C}">
                  <a14:compatExt spid="_x0000_s20493"/>
                </a:ext>
                <a:ext uri="{FF2B5EF4-FFF2-40B4-BE49-F238E27FC236}">
                  <a16:creationId xmlns:a16="http://schemas.microsoft.com/office/drawing/2014/main" id="{00000000-0008-0000-0D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Update all EDI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2</xdr:row>
          <xdr:rowOff>247650</xdr:rowOff>
        </xdr:from>
        <xdr:to>
          <xdr:col>1</xdr:col>
          <xdr:colOff>3454400</xdr:colOff>
          <xdr:row>4</xdr:row>
          <xdr:rowOff>44450</xdr:rowOff>
        </xdr:to>
        <xdr:sp macro="" textlink="">
          <xdr:nvSpPr>
            <xdr:cNvPr id="20494" name="Check Box 14" hidden="1">
              <a:extLst>
                <a:ext uri="{63B3BB69-23CF-44E3-9099-C40C66FF867C}">
                  <a14:compatExt spid="_x0000_s20494"/>
                </a:ext>
                <a:ext uri="{FF2B5EF4-FFF2-40B4-BE49-F238E27FC236}">
                  <a16:creationId xmlns:a16="http://schemas.microsoft.com/office/drawing/2014/main" id="{00000000-0008-0000-0D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Update name and location (using NAME tab)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16</xdr:row>
          <xdr:rowOff>171450</xdr:rowOff>
        </xdr:from>
        <xdr:to>
          <xdr:col>1</xdr:col>
          <xdr:colOff>1873250</xdr:colOff>
          <xdr:row>18</xdr:row>
          <xdr:rowOff>19050</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id="{00000000-0008-0000-0D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Vehicles and GEO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571500</xdr:colOff>
          <xdr:row>14</xdr:row>
          <xdr:rowOff>171450</xdr:rowOff>
        </xdr:from>
        <xdr:to>
          <xdr:col>1</xdr:col>
          <xdr:colOff>2266950</xdr:colOff>
          <xdr:row>16</xdr:row>
          <xdr:rowOff>19050</xdr:rowOff>
        </xdr:to>
        <xdr:sp macro="" textlink="">
          <xdr:nvSpPr>
            <xdr:cNvPr id="20497" name="Check Box 17" hidden="1">
              <a:extLst>
                <a:ext uri="{63B3BB69-23CF-44E3-9099-C40C66FF867C}">
                  <a14:compatExt spid="_x0000_s20497"/>
                </a:ext>
                <a:ext uri="{FF2B5EF4-FFF2-40B4-BE49-F238E27FC236}">
                  <a16:creationId xmlns:a16="http://schemas.microsoft.com/office/drawing/2014/main" id="{00000000-0008-0000-0D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Partner Functions</a:t>
              </a:r>
            </a:p>
          </xdr:txBody>
        </xdr:sp>
        <xdr:clientData/>
      </xdr:twoCellAnchor>
    </mc:Choice>
    <mc:Fallback/>
  </mc:AlternateContent>
  <xdr:oneCellAnchor>
    <xdr:from>
      <xdr:col>2</xdr:col>
      <xdr:colOff>23447</xdr:colOff>
      <xdr:row>1</xdr:row>
      <xdr:rowOff>52754</xdr:rowOff>
    </xdr:from>
    <xdr:ext cx="2650120" cy="674076"/>
    <xdr:sp macro="" textlink="">
      <xdr:nvSpPr>
        <xdr:cNvPr id="3" name="Rectangle 2">
          <a:extLst>
            <a:ext uri="{FF2B5EF4-FFF2-40B4-BE49-F238E27FC236}">
              <a16:creationId xmlns:a16="http://schemas.microsoft.com/office/drawing/2014/main" id="{00000000-0008-0000-0D00-000003000000}"/>
            </a:ext>
          </a:extLst>
        </xdr:cNvPr>
        <xdr:cNvSpPr/>
      </xdr:nvSpPr>
      <xdr:spPr>
        <a:xfrm>
          <a:off x="1242647" y="236904"/>
          <a:ext cx="2650120" cy="674076"/>
        </a:xfrm>
        <a:prstGeom prst="rect">
          <a:avLst/>
        </a:prstGeom>
        <a:noFill/>
      </xdr:spPr>
      <xdr:txBody>
        <a:bodyPr wrap="none" lIns="91440" tIns="45720" rIns="91440" bIns="45720">
          <a:noAutofit/>
        </a:bodyPr>
        <a:lstStyle/>
        <a:p>
          <a:pPr algn="ctr"/>
          <a:r>
            <a:rPr lang="en-US" sz="2000" b="1" cap="none" spc="0">
              <a:ln w="13462">
                <a:solidFill>
                  <a:schemeClr val="tx1">
                    <a:lumMod val="95000"/>
                    <a:lumOff val="5000"/>
                  </a:schemeClr>
                </a:solidFill>
                <a:prstDash val="solid"/>
              </a:ln>
              <a:pattFill prst="pct60">
                <a:fgClr>
                  <a:srgbClr val="FF0000"/>
                </a:fgClr>
                <a:bgClr>
                  <a:schemeClr val="bg1">
                    <a:lumMod val="95000"/>
                  </a:schemeClr>
                </a:bgClr>
              </a:pattFill>
              <a:effectLst>
                <a:outerShdw dist="38100" dir="2700000" algn="bl" rotWithShape="0">
                  <a:schemeClr val="tx1"/>
                </a:outerShdw>
              </a:effectLst>
            </a:rPr>
            <a:t>You can click the</a:t>
          </a:r>
          <a:r>
            <a:rPr lang="en-US" sz="2000" b="1" cap="none" spc="0" baseline="0">
              <a:ln w="13462">
                <a:solidFill>
                  <a:schemeClr val="tx1">
                    <a:lumMod val="95000"/>
                    <a:lumOff val="5000"/>
                  </a:schemeClr>
                </a:solidFill>
                <a:prstDash val="solid"/>
              </a:ln>
              <a:pattFill prst="pct60">
                <a:fgClr>
                  <a:srgbClr val="FF0000"/>
                </a:fgClr>
                <a:bgClr>
                  <a:schemeClr val="bg1">
                    <a:lumMod val="95000"/>
                  </a:schemeClr>
                </a:bgClr>
              </a:pattFill>
              <a:effectLst>
                <a:outerShdw dist="38100" dir="2700000" algn="bl" rotWithShape="0">
                  <a:schemeClr val="tx1"/>
                </a:outerShdw>
              </a:effectLst>
            </a:rPr>
            <a:t> box</a:t>
          </a:r>
        </a:p>
        <a:p>
          <a:pPr algn="ctr"/>
          <a:r>
            <a:rPr lang="en-US" sz="2000" b="1" cap="none" spc="0" baseline="0">
              <a:ln w="13462">
                <a:solidFill>
                  <a:schemeClr val="tx1">
                    <a:lumMod val="95000"/>
                    <a:lumOff val="5000"/>
                  </a:schemeClr>
                </a:solidFill>
                <a:prstDash val="solid"/>
              </a:ln>
              <a:pattFill prst="pct60">
                <a:fgClr>
                  <a:srgbClr val="FF0000"/>
                </a:fgClr>
                <a:bgClr>
                  <a:schemeClr val="bg1">
                    <a:lumMod val="95000"/>
                  </a:schemeClr>
                </a:bgClr>
              </a:pattFill>
              <a:effectLst>
                <a:outerShdw dist="38100" dir="2700000" algn="bl" rotWithShape="0">
                  <a:schemeClr val="tx1"/>
                </a:outerShdw>
              </a:effectLst>
            </a:rPr>
            <a:t> to mark it complete</a:t>
          </a:r>
          <a:endParaRPr lang="en-US" sz="2000" b="1" cap="none" spc="0">
            <a:ln w="13462">
              <a:solidFill>
                <a:schemeClr val="tx1">
                  <a:lumMod val="95000"/>
                  <a:lumOff val="5000"/>
                </a:schemeClr>
              </a:solidFill>
              <a:prstDash val="solid"/>
            </a:ln>
            <a:pattFill prst="pct60">
              <a:fgClr>
                <a:srgbClr val="FF0000"/>
              </a:fgClr>
              <a:bgClr>
                <a:schemeClr val="bg1">
                  <a:lumMod val="95000"/>
                </a:schemeClr>
              </a:bgClr>
            </a:pattFill>
            <a:effectLst>
              <a:outerShdw dist="38100" dir="2700000" algn="bl" rotWithShape="0">
                <a:schemeClr val="tx1"/>
              </a:outerShdw>
            </a:effectLst>
          </a:endParaRPr>
        </a:p>
      </xdr:txBody>
    </xdr:sp>
    <xdr:clientData/>
  </xdr:oneCellAnchor>
  <mc:AlternateContent xmlns:mc="http://schemas.openxmlformats.org/markup-compatibility/2006">
    <mc:Choice xmlns:a14="http://schemas.microsoft.com/office/drawing/2010/main" Requires="a14">
      <xdr:twoCellAnchor editAs="oneCell">
        <xdr:from>
          <xdr:col>0</xdr:col>
          <xdr:colOff>571500</xdr:colOff>
          <xdr:row>18</xdr:row>
          <xdr:rowOff>177800</xdr:rowOff>
        </xdr:from>
        <xdr:to>
          <xdr:col>1</xdr:col>
          <xdr:colOff>3124200</xdr:colOff>
          <xdr:row>20</xdr:row>
          <xdr:rowOff>25400</xdr:rowOff>
        </xdr:to>
        <xdr:sp macro="" textlink="">
          <xdr:nvSpPr>
            <xdr:cNvPr id="20499" name="Check Box 19" hidden="1">
              <a:extLst>
                <a:ext uri="{63B3BB69-23CF-44E3-9099-C40C66FF867C}">
                  <a14:compatExt spid="_x0000_s20499"/>
                </a:ext>
                <a:ext uri="{FF2B5EF4-FFF2-40B4-BE49-F238E27FC236}">
                  <a16:creationId xmlns:a16="http://schemas.microsoft.com/office/drawing/2014/main" id="{00000000-0008-0000-0D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Complete Project Form with new Acct numbers attached</a:t>
              </a:r>
            </a:p>
          </xdr:txBody>
        </xdr:sp>
        <xdr:clientData/>
      </xdr:twoCellAnchor>
    </mc:Choice>
    <mc:Fallback/>
  </mc:AlternateContent>
  <mc:AlternateContent xmlns:mc="http://schemas.openxmlformats.org/markup-compatibility/2006">
    <mc:Choice xmlns:a14="http://schemas.microsoft.com/office/drawing/2010/main" Requires="a14">
      <xdr:oneCellAnchor>
        <xdr:from>
          <xdr:col>0</xdr:col>
          <xdr:colOff>571500</xdr:colOff>
          <xdr:row>11</xdr:row>
          <xdr:rowOff>165100</xdr:rowOff>
        </xdr:from>
        <xdr:ext cx="3048977" cy="218831"/>
        <xdr:sp macro="" textlink="">
          <xdr:nvSpPr>
            <xdr:cNvPr id="20500" name="Check Box 20" hidden="1">
              <a:extLst>
                <a:ext uri="{63B3BB69-23CF-44E3-9099-C40C66FF867C}">
                  <a14:compatExt spid="_x0000_s20500"/>
                </a:ext>
                <a:ext uri="{FF2B5EF4-FFF2-40B4-BE49-F238E27FC236}">
                  <a16:creationId xmlns:a16="http://schemas.microsoft.com/office/drawing/2014/main" id="{245ABB1B-C32C-4740-8593-8BC4ED947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Run DQ Rules to catch any errors</a:t>
              </a:r>
            </a:p>
          </xdr:txBody>
        </xdr:sp>
        <xdr:clientData/>
      </xdr:one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0</xdr:colOff>
      <xdr:row>2</xdr:row>
      <xdr:rowOff>0</xdr:rowOff>
    </xdr:from>
    <xdr:to>
      <xdr:col>9</xdr:col>
      <xdr:colOff>234950</xdr:colOff>
      <xdr:row>7</xdr:row>
      <xdr:rowOff>158750</xdr:rowOff>
    </xdr:to>
    <xdr:sp macro="" textlink="">
      <xdr:nvSpPr>
        <xdr:cNvPr id="3" name="TextBox 2">
          <a:extLst>
            <a:ext uri="{FF2B5EF4-FFF2-40B4-BE49-F238E27FC236}">
              <a16:creationId xmlns:a16="http://schemas.microsoft.com/office/drawing/2014/main" id="{8B027E26-ACC5-4609-80F6-9C9BADFAB4F2}"/>
            </a:ext>
          </a:extLst>
        </xdr:cNvPr>
        <xdr:cNvSpPr txBox="1"/>
      </xdr:nvSpPr>
      <xdr:spPr>
        <a:xfrm>
          <a:off x="5651500" y="368300"/>
          <a:ext cx="2114550" cy="1079500"/>
        </a:xfrm>
        <a:custGeom>
          <a:avLst/>
          <a:gdLst>
            <a:gd name="connsiteX0" fmla="*/ 0 w 2114550"/>
            <a:gd name="connsiteY0" fmla="*/ 0 h 1079500"/>
            <a:gd name="connsiteX1" fmla="*/ 507492 w 2114550"/>
            <a:gd name="connsiteY1" fmla="*/ 0 h 1079500"/>
            <a:gd name="connsiteX2" fmla="*/ 1036130 w 2114550"/>
            <a:gd name="connsiteY2" fmla="*/ 0 h 1079500"/>
            <a:gd name="connsiteX3" fmla="*/ 1585913 w 2114550"/>
            <a:gd name="connsiteY3" fmla="*/ 0 h 1079500"/>
            <a:gd name="connsiteX4" fmla="*/ 2114550 w 2114550"/>
            <a:gd name="connsiteY4" fmla="*/ 0 h 1079500"/>
            <a:gd name="connsiteX5" fmla="*/ 2114550 w 2114550"/>
            <a:gd name="connsiteY5" fmla="*/ 550545 h 1079500"/>
            <a:gd name="connsiteX6" fmla="*/ 2114550 w 2114550"/>
            <a:gd name="connsiteY6" fmla="*/ 1079500 h 1079500"/>
            <a:gd name="connsiteX7" fmla="*/ 1543622 w 2114550"/>
            <a:gd name="connsiteY7" fmla="*/ 1079500 h 1079500"/>
            <a:gd name="connsiteX8" fmla="*/ 972693 w 2114550"/>
            <a:gd name="connsiteY8" fmla="*/ 1079500 h 1079500"/>
            <a:gd name="connsiteX9" fmla="*/ 0 w 2114550"/>
            <a:gd name="connsiteY9" fmla="*/ 1079500 h 1079500"/>
            <a:gd name="connsiteX10" fmla="*/ 0 w 2114550"/>
            <a:gd name="connsiteY10" fmla="*/ 550545 h 1079500"/>
            <a:gd name="connsiteX11" fmla="*/ 0 w 2114550"/>
            <a:gd name="connsiteY11" fmla="*/ 0 h 1079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114550" h="1079500" fill="none" extrusionOk="0">
              <a:moveTo>
                <a:pt x="0" y="0"/>
              </a:moveTo>
              <a:cubicBezTo>
                <a:pt x="196266" y="-24761"/>
                <a:pt x="275198" y="21291"/>
                <a:pt x="507492" y="0"/>
              </a:cubicBezTo>
              <a:cubicBezTo>
                <a:pt x="739786" y="-21291"/>
                <a:pt x="783942" y="36319"/>
                <a:pt x="1036130" y="0"/>
              </a:cubicBezTo>
              <a:cubicBezTo>
                <a:pt x="1288318" y="-36319"/>
                <a:pt x="1404546" y="45097"/>
                <a:pt x="1585913" y="0"/>
              </a:cubicBezTo>
              <a:cubicBezTo>
                <a:pt x="1767280" y="-45097"/>
                <a:pt x="2004684" y="23655"/>
                <a:pt x="2114550" y="0"/>
              </a:cubicBezTo>
              <a:cubicBezTo>
                <a:pt x="2140111" y="253499"/>
                <a:pt x="2086681" y="311589"/>
                <a:pt x="2114550" y="550545"/>
              </a:cubicBezTo>
              <a:cubicBezTo>
                <a:pt x="2142419" y="789502"/>
                <a:pt x="2077790" y="883087"/>
                <a:pt x="2114550" y="1079500"/>
              </a:cubicBezTo>
              <a:cubicBezTo>
                <a:pt x="1967561" y="1139696"/>
                <a:pt x="1788320" y="1042684"/>
                <a:pt x="1543622" y="1079500"/>
              </a:cubicBezTo>
              <a:cubicBezTo>
                <a:pt x="1298924" y="1116316"/>
                <a:pt x="1203518" y="1053092"/>
                <a:pt x="972693" y="1079500"/>
              </a:cubicBezTo>
              <a:cubicBezTo>
                <a:pt x="741868" y="1105908"/>
                <a:pt x="442506" y="1063234"/>
                <a:pt x="0" y="1079500"/>
              </a:cubicBezTo>
              <a:cubicBezTo>
                <a:pt x="-10509" y="822863"/>
                <a:pt x="7145" y="664989"/>
                <a:pt x="0" y="550545"/>
              </a:cubicBezTo>
              <a:cubicBezTo>
                <a:pt x="-7145" y="436102"/>
                <a:pt x="62662" y="115402"/>
                <a:pt x="0" y="0"/>
              </a:cubicBezTo>
              <a:close/>
            </a:path>
            <a:path w="2114550" h="1079500" stroke="0" extrusionOk="0">
              <a:moveTo>
                <a:pt x="0" y="0"/>
              </a:moveTo>
              <a:cubicBezTo>
                <a:pt x="172866" y="-3100"/>
                <a:pt x="349389" y="43646"/>
                <a:pt x="507492" y="0"/>
              </a:cubicBezTo>
              <a:cubicBezTo>
                <a:pt x="665595" y="-43646"/>
                <a:pt x="765220" y="28834"/>
                <a:pt x="972693" y="0"/>
              </a:cubicBezTo>
              <a:cubicBezTo>
                <a:pt x="1180166" y="-28834"/>
                <a:pt x="1418158" y="11053"/>
                <a:pt x="1543622" y="0"/>
              </a:cubicBezTo>
              <a:cubicBezTo>
                <a:pt x="1669086" y="-11053"/>
                <a:pt x="1848156" y="2041"/>
                <a:pt x="2114550" y="0"/>
              </a:cubicBezTo>
              <a:cubicBezTo>
                <a:pt x="2152531" y="170561"/>
                <a:pt x="2109598" y="354320"/>
                <a:pt x="2114550" y="528955"/>
              </a:cubicBezTo>
              <a:cubicBezTo>
                <a:pt x="2119502" y="703591"/>
                <a:pt x="2075386" y="888294"/>
                <a:pt x="2114550" y="1079500"/>
              </a:cubicBezTo>
              <a:cubicBezTo>
                <a:pt x="1964006" y="1107507"/>
                <a:pt x="1841144" y="1078604"/>
                <a:pt x="1585913" y="1079500"/>
              </a:cubicBezTo>
              <a:cubicBezTo>
                <a:pt x="1330682" y="1080396"/>
                <a:pt x="1152474" y="1073115"/>
                <a:pt x="1014984" y="1079500"/>
              </a:cubicBezTo>
              <a:cubicBezTo>
                <a:pt x="877494" y="1085885"/>
                <a:pt x="774594" y="1036767"/>
                <a:pt x="549783" y="1079500"/>
              </a:cubicBezTo>
              <a:cubicBezTo>
                <a:pt x="324972" y="1122233"/>
                <a:pt x="133987" y="1025716"/>
                <a:pt x="0" y="1079500"/>
              </a:cubicBezTo>
              <a:cubicBezTo>
                <a:pt x="-1576" y="955002"/>
                <a:pt x="49008" y="791003"/>
                <a:pt x="0" y="539750"/>
              </a:cubicBezTo>
              <a:cubicBezTo>
                <a:pt x="-49008" y="288497"/>
                <a:pt x="13935" y="268750"/>
                <a:pt x="0" y="0"/>
              </a:cubicBezTo>
              <a:close/>
            </a:path>
          </a:pathLst>
        </a:custGeom>
        <a:solidFill>
          <a:schemeClr val="accent1">
            <a:lumMod val="20000"/>
            <a:lumOff val="80000"/>
          </a:schemeClr>
        </a:solidFill>
        <a:ln w="50800" cap="rnd" cmpd="thinThick">
          <a:solidFill>
            <a:schemeClr val="tx1">
              <a:lumMod val="75000"/>
            </a:schemeClr>
          </a:solidFill>
          <a:prstDash val="solid"/>
          <a:extLst>
            <a:ext uri="{C807C97D-BFC1-408E-A445-0C87EB9F89A2}">
              <ask:lineSketchStyleProps xmlns:ask="http://schemas.microsoft.com/office/drawing/2018/sketchyshapes" sd="1219033472">
                <a:prstGeom prst="rect">
                  <a:avLst/>
                </a:prstGeom>
                <ask:type>
                  <ask:lineSketchScribble/>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FINAL TAB, SAVE THE</a:t>
          </a:r>
          <a:r>
            <a:rPr lang="en-US" sz="1100" baseline="0"/>
            <a:t> FILE ON THIS TAB AND ATTACHTHE ENTIRE  WORKBOOK TO THE PROJECT REQUEST AS VALIDATION</a:t>
          </a:r>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Custom 1">
      <a:dk1>
        <a:srgbClr val="CC0000"/>
      </a:dk1>
      <a:lt1>
        <a:srgbClr val="FFFF99"/>
      </a:lt1>
      <a:dk2>
        <a:srgbClr val="FF9966"/>
      </a:dk2>
      <a:lt2>
        <a:srgbClr val="66FF66"/>
      </a:lt2>
      <a:accent1>
        <a:srgbClr val="0099CC"/>
      </a:accent1>
      <a:accent2>
        <a:srgbClr val="9966FF"/>
      </a:accent2>
      <a:accent3>
        <a:srgbClr val="FF0066"/>
      </a:accent3>
      <a:accent4>
        <a:srgbClr val="FFCC66"/>
      </a:accent4>
      <a:accent5>
        <a:srgbClr val="CCFF66"/>
      </a:accent5>
      <a:accent6>
        <a:srgbClr val="339966"/>
      </a:accent6>
      <a:hlink>
        <a:srgbClr val="00FFFF"/>
      </a:hlink>
      <a:folHlink>
        <a:srgbClr val="CC3399"/>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8" Type="http://schemas.openxmlformats.org/officeDocument/2006/relationships/hyperlink" Target="https://mbm.cloud.ccbcc.com/" TargetMode="External"/><Relationship Id="rId3" Type="http://schemas.openxmlformats.org/officeDocument/2006/relationships/hyperlink" Target="https://redcentral.cloud.ccbcc.com/sites/bizforms/dmr/delivery/forms/cona%20only%20%20mdm%20pending%20view.aspx" TargetMode="External"/><Relationship Id="rId7" Type="http://schemas.openxmlformats.org/officeDocument/2006/relationships/hyperlink" Target="mailto:ConaEquipment@cokeconsolidated.com" TargetMode="External"/><Relationship Id="rId2" Type="http://schemas.openxmlformats.org/officeDocument/2006/relationships/hyperlink" Target="https://redcentral.ccbcc.com/sites/sd/pricing/net/net/Forms/All%20Items.aspx?View=%7b89F62BB1-784F-4823-B7ED-A339BC3902DC%7d&amp;FilterField1=ID&amp;FilterValue1=47009" TargetMode="External"/><Relationship Id="rId1" Type="http://schemas.openxmlformats.org/officeDocument/2006/relationships/hyperlink" Target="https://redcentral.cloud.ccbcc.com/sites/bizforms/mdm/obmby/obmb/Forms/Pending%20MDM.aspx" TargetMode="External"/><Relationship Id="rId6" Type="http://schemas.openxmlformats.org/officeDocument/2006/relationships/hyperlink" Target="https://redcentral.cloud.ccbcc.com/sites/bizforms/supdel/supdel/forms/mdm.aspx" TargetMode="External"/><Relationship Id="rId11" Type="http://schemas.openxmlformats.org/officeDocument/2006/relationships/printerSettings" Target="../printerSettings/printerSettings2.bin"/><Relationship Id="rId5" Type="http://schemas.openxmlformats.org/officeDocument/2006/relationships/hyperlink" Target="https://redcentral.cloud.ccbcc.com/sites/bizforms/mdm/sitepages/mdmteamforms.aspx" TargetMode="External"/><Relationship Id="rId10" Type="http://schemas.openxmlformats.org/officeDocument/2006/relationships/hyperlink" Target="https://redcentral.cloud.ccbcc.com/sites/bizforms/mdm/Lists/projects/dafault.aspx" TargetMode="External"/><Relationship Id="rId4" Type="http://schemas.openxmlformats.org/officeDocument/2006/relationships/hyperlink" Target="https://redcentral.cloud.ccbcc.com/sites/bizforms/hierarchy/hier/Forms/Pending%20MDM.aspx" TargetMode="External"/><Relationship Id="rId9" Type="http://schemas.openxmlformats.org/officeDocument/2006/relationships/hyperlink" Target="https://redcentral.ccbcc.com/sites/sd/bizforms/crfcona/Lists/projects/dafault.aspx"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package" Target="../embeddings/Microsoft_Word_Document1.docx"/></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10.x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printerSettings" Target="../printerSettings/printerSettings6.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87DA2-DC3F-4620-A404-8F3424AD7BED}">
  <sheetPr>
    <tabColor theme="2" tint="0.79998168889431442"/>
  </sheetPr>
  <dimension ref="A1"/>
  <sheetViews>
    <sheetView workbookViewId="0"/>
  </sheetViews>
  <sheetFormatPr defaultRowHeight="14.5" x14ac:dyDescent="0.35"/>
  <sheetData/>
  <pageMargins left="0.7" right="0.7" top="0.75" bottom="0.75" header="0.3" footer="0.3"/>
  <pageSetup orientation="portrait" r:id="rId1"/>
  <drawing r:id="rId2"/>
  <legacyDrawing r:id="rId3"/>
  <oleObjects>
    <mc:AlternateContent xmlns:mc="http://schemas.openxmlformats.org/markup-compatibility/2006">
      <mc:Choice Requires="x14">
        <oleObject progId="Document" shapeId="2049" r:id="rId4">
          <objectPr defaultSize="0" r:id="rId5">
            <anchor moveWithCells="1">
              <from>
                <xdr:col>0</xdr:col>
                <xdr:colOff>495300</xdr:colOff>
                <xdr:row>5</xdr:row>
                <xdr:rowOff>69850</xdr:rowOff>
              </from>
              <to>
                <xdr:col>12</xdr:col>
                <xdr:colOff>50800</xdr:colOff>
                <xdr:row>55</xdr:row>
                <xdr:rowOff>146050</xdr:rowOff>
              </to>
            </anchor>
          </objectPr>
        </oleObject>
      </mc:Choice>
      <mc:Fallback>
        <oleObject progId="Document" shapeId="2049" r:id="rId4"/>
      </mc:Fallback>
    </mc:AlternateContent>
  </oleObjects>
  <mc:AlternateContent xmlns:mc="http://schemas.openxmlformats.org/markup-compatibility/2006">
    <mc:Choice Requires="x14">
      <controls>
        <mc:AlternateContent xmlns:mc="http://schemas.openxmlformats.org/markup-compatibility/2006">
          <mc:Choice Requires="x14">
            <control shapeId="2050" r:id="rId6" name="Button 2">
              <controlPr defaultSize="0" print="0" autoFill="0" autoPict="0" macro="[0]!FRESH">
                <anchor moveWithCells="1" sizeWithCells="1">
                  <from>
                    <xdr:col>2</xdr:col>
                    <xdr:colOff>44450</xdr:colOff>
                    <xdr:row>1</xdr:row>
                    <xdr:rowOff>63500</xdr:rowOff>
                  </from>
                  <to>
                    <xdr:col>11</xdr:col>
                    <xdr:colOff>44450</xdr:colOff>
                    <xdr:row>4</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AACE0-F80F-46BE-8EFB-1F0498629CA3}">
  <sheetPr>
    <tabColor theme="2" tint="0.59999389629810485"/>
  </sheetPr>
  <dimension ref="B1:F26"/>
  <sheetViews>
    <sheetView zoomScale="70" zoomScaleNormal="70" workbookViewId="0">
      <selection activeCell="B2" sqref="B2:F2"/>
    </sheetView>
  </sheetViews>
  <sheetFormatPr defaultColWidth="11.453125" defaultRowHeight="14.5" x14ac:dyDescent="0.35"/>
  <cols>
    <col min="2" max="2" width="11.81640625" customWidth="1"/>
    <col min="3" max="4" width="50.36328125" customWidth="1"/>
    <col min="5" max="5" width="51.453125" customWidth="1"/>
  </cols>
  <sheetData>
    <row r="1" spans="2:6" ht="15" thickBot="1" x14ac:dyDescent="0.4"/>
    <row r="2" spans="2:6" ht="21.5" thickBot="1" x14ac:dyDescent="0.55000000000000004">
      <c r="B2" s="117" t="s">
        <v>170</v>
      </c>
      <c r="C2" s="118"/>
      <c r="D2" s="118"/>
      <c r="E2" s="118"/>
      <c r="F2" s="118"/>
    </row>
    <row r="3" spans="2:6" ht="21.5" thickBot="1" x14ac:dyDescent="0.4">
      <c r="B3" s="114" t="s">
        <v>182</v>
      </c>
      <c r="C3" s="115"/>
      <c r="D3" s="115"/>
      <c r="E3" s="115"/>
      <c r="F3" s="116"/>
    </row>
    <row r="4" spans="2:6" ht="21.5" thickBot="1" x14ac:dyDescent="0.4">
      <c r="B4" s="114" t="s">
        <v>183</v>
      </c>
      <c r="C4" s="115"/>
      <c r="D4" s="115"/>
      <c r="E4" s="115"/>
      <c r="F4" s="116"/>
    </row>
    <row r="5" spans="2:6" ht="21.5" thickBot="1" x14ac:dyDescent="0.4">
      <c r="B5" s="114" t="s">
        <v>164</v>
      </c>
      <c r="C5" s="115"/>
      <c r="D5" s="115"/>
      <c r="E5" s="115"/>
      <c r="F5" s="116"/>
    </row>
    <row r="6" spans="2:6" ht="21.5" thickBot="1" x14ac:dyDescent="0.4">
      <c r="B6" s="114" t="s">
        <v>165</v>
      </c>
      <c r="C6" s="115"/>
      <c r="D6" s="115"/>
      <c r="E6" s="115"/>
      <c r="F6" s="116"/>
    </row>
    <row r="7" spans="2:6" ht="21.5" thickBot="1" x14ac:dyDescent="0.4">
      <c r="B7" s="114" t="s">
        <v>166</v>
      </c>
      <c r="C7" s="115"/>
      <c r="D7" s="115"/>
      <c r="E7" s="115"/>
      <c r="F7" s="116"/>
    </row>
    <row r="8" spans="2:6" ht="21.5" thickBot="1" x14ac:dyDescent="0.4">
      <c r="B8" s="114" t="s">
        <v>167</v>
      </c>
      <c r="C8" s="115"/>
      <c r="D8" s="115"/>
      <c r="E8" s="115"/>
      <c r="F8" s="116"/>
    </row>
    <row r="9" spans="2:6" ht="21.5" thickBot="1" x14ac:dyDescent="0.4">
      <c r="B9" s="114" t="s">
        <v>168</v>
      </c>
      <c r="C9" s="115"/>
      <c r="D9" s="115"/>
      <c r="E9" s="115"/>
      <c r="F9" s="116"/>
    </row>
    <row r="10" spans="2:6" ht="21.5" thickBot="1" x14ac:dyDescent="0.4">
      <c r="B10" s="114" t="s">
        <v>169</v>
      </c>
      <c r="C10" s="115"/>
      <c r="D10" s="115"/>
      <c r="E10" s="115"/>
      <c r="F10" s="116"/>
    </row>
    <row r="13" spans="2:6" ht="15" thickBot="1" x14ac:dyDescent="0.4"/>
    <row r="14" spans="2:6" ht="21.5" thickBot="1" x14ac:dyDescent="0.55000000000000004">
      <c r="C14" s="111" t="s">
        <v>178</v>
      </c>
      <c r="D14" s="112"/>
      <c r="E14" s="113"/>
    </row>
    <row r="15" spans="2:6" ht="21.5" thickBot="1" x14ac:dyDescent="0.55000000000000004">
      <c r="C15" s="19" t="s">
        <v>176</v>
      </c>
      <c r="D15" s="20" t="s">
        <v>175</v>
      </c>
      <c r="E15" s="20" t="s">
        <v>172</v>
      </c>
    </row>
    <row r="16" spans="2:6" ht="21" x14ac:dyDescent="0.5">
      <c r="C16" s="21" t="s">
        <v>177</v>
      </c>
      <c r="D16" s="28" t="s">
        <v>173</v>
      </c>
      <c r="E16" s="22" t="s">
        <v>171</v>
      </c>
    </row>
    <row r="17" spans="3:5" ht="21" x14ac:dyDescent="0.5">
      <c r="C17" s="23" t="s">
        <v>174</v>
      </c>
      <c r="D17" s="6"/>
      <c r="E17" s="24" t="s">
        <v>229</v>
      </c>
    </row>
    <row r="18" spans="3:5" ht="21" x14ac:dyDescent="0.5">
      <c r="C18" s="23" t="s">
        <v>179</v>
      </c>
      <c r="D18" s="6"/>
      <c r="E18" s="24"/>
    </row>
    <row r="19" spans="3:5" ht="21" x14ac:dyDescent="0.5">
      <c r="C19" s="23" t="s">
        <v>180</v>
      </c>
      <c r="D19" s="6"/>
      <c r="E19" s="24" t="s">
        <v>231</v>
      </c>
    </row>
    <row r="20" spans="3:5" ht="21" x14ac:dyDescent="0.5">
      <c r="C20" s="23" t="s">
        <v>181</v>
      </c>
      <c r="D20" s="6"/>
      <c r="E20" s="24" t="s">
        <v>230</v>
      </c>
    </row>
    <row r="21" spans="3:5" ht="21.5" thickBot="1" x14ac:dyDescent="0.55000000000000004">
      <c r="C21" s="25" t="s">
        <v>184</v>
      </c>
      <c r="D21" s="26"/>
      <c r="E21" s="27" t="s">
        <v>185</v>
      </c>
    </row>
    <row r="25" spans="3:5" x14ac:dyDescent="0.35">
      <c r="C25" t="s">
        <v>186</v>
      </c>
    </row>
    <row r="26" spans="3:5" x14ac:dyDescent="0.35">
      <c r="C26" t="s">
        <v>187</v>
      </c>
    </row>
  </sheetData>
  <mergeCells count="10">
    <mergeCell ref="B2:F2"/>
    <mergeCell ref="B5:F5"/>
    <mergeCell ref="B6:F6"/>
    <mergeCell ref="B7:F7"/>
    <mergeCell ref="B8:F8"/>
    <mergeCell ref="C14:E14"/>
    <mergeCell ref="B9:F9"/>
    <mergeCell ref="B10:F10"/>
    <mergeCell ref="B3:F3"/>
    <mergeCell ref="B4:F4"/>
  </mergeCells>
  <hyperlinks>
    <hyperlink ref="B5" r:id="rId1" display="https://redcentral.cloud.ccbcc.com/sites/bizforms/mdm/obmby/obmb/Forms/Pending MDM.aspx" xr:uid="{942FE8F6-6D26-4218-BDF1-F77EF054AE29}"/>
    <hyperlink ref="B6" r:id="rId2" display="https://redcentral.ccbcc.com/sites/sd/pricing/net/net/Forms/All Items.aspx?View=%7b89F62BB1-784F-4823-B7ED-A339BC3902DC%7d&amp;FilterField1=ID&amp;FilterValue1=47009" xr:uid="{EBE974D1-8EE6-4345-A80F-AD6C1E80B69E}"/>
    <hyperlink ref="B7" r:id="rId3" display="https://redcentral.cloud.ccbcc.com/sites/bizforms/dmr/delivery/forms/cona only  mdm pending view.aspx" xr:uid="{FE0F00E6-2790-4C62-B295-715DA9E941BD}"/>
    <hyperlink ref="B8" r:id="rId4" display="https://redcentral.cloud.ccbcc.com/sites/bizforms/hierarchy/hier/Forms/Pending MDM.aspx" xr:uid="{F6677A07-9CF3-4253-AEE2-D25E605DBEA1}"/>
    <hyperlink ref="B9" r:id="rId5" display="https://redcentral.cloud.ccbcc.com/sites/bizforms/mdm/sitepages/mdmteamforms.aspx" xr:uid="{4B1A0BE1-7759-424F-9353-EAD2B8B60E76}"/>
    <hyperlink ref="B10" r:id="rId6" display="https://redcentral.cloud.ccbcc.com/sites/bizforms/supdel/supdel/forms/mdm.aspx" xr:uid="{B682CCCD-7017-4DE9-BF78-04B964943DFC}"/>
    <hyperlink ref="E16" r:id="rId7" xr:uid="{3119719B-F5A9-4640-9A2E-2D4858794039}"/>
    <hyperlink ref="B3" r:id="rId8" display="https://mbm.cloud.ccbcc.com/" xr:uid="{1141302E-F67E-4EE1-AD15-8275BE196E00}"/>
    <hyperlink ref="B4" r:id="rId9" display="https://redcentral.ccbcc.com/sites/sd/bizforms/crfcona/Lists/projects/dafault.aspx" xr:uid="{AC2362FA-B27C-48EB-BB65-11A5364F09A2}"/>
    <hyperlink ref="B4:F4" r:id="rId10" display="MDM PROJECT LOG" xr:uid="{95DA0F05-2842-45E1-90DD-B07295CDB4C9}"/>
  </hyperlinks>
  <pageMargins left="0.7" right="0.7" top="0.75" bottom="0.75" header="0.3" footer="0.3"/>
  <pageSetup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4C8B9-7B2B-4DC2-9355-1CEA46177D65}">
  <sheetPr>
    <tabColor theme="2" tint="-0.249977111117893"/>
  </sheetPr>
  <dimension ref="A1:E8"/>
  <sheetViews>
    <sheetView workbookViewId="0">
      <selection sqref="A1:E1"/>
    </sheetView>
  </sheetViews>
  <sheetFormatPr defaultRowHeight="14.5" x14ac:dyDescent="0.35"/>
  <cols>
    <col min="1" max="1" width="13.81640625" customWidth="1"/>
  </cols>
  <sheetData>
    <row r="1" spans="1:5" ht="15" thickBot="1" x14ac:dyDescent="0.4">
      <c r="A1" s="122" t="s">
        <v>163</v>
      </c>
      <c r="B1" s="123"/>
      <c r="C1" s="123"/>
      <c r="D1" s="123"/>
      <c r="E1" s="124"/>
    </row>
    <row r="2" spans="1:5" ht="15" thickBot="1" x14ac:dyDescent="0.4"/>
    <row r="3" spans="1:5" x14ac:dyDescent="0.35">
      <c r="A3" s="16" t="s">
        <v>222</v>
      </c>
      <c r="B3" s="125"/>
      <c r="C3" s="126"/>
      <c r="D3" s="126"/>
      <c r="E3" s="127"/>
    </row>
    <row r="4" spans="1:5" x14ac:dyDescent="0.35">
      <c r="A4" s="17" t="s">
        <v>236</v>
      </c>
      <c r="B4" s="128"/>
      <c r="C4" s="129"/>
      <c r="D4" s="129"/>
      <c r="E4" s="130"/>
    </row>
    <row r="5" spans="1:5" ht="15" thickBot="1" x14ac:dyDescent="0.4">
      <c r="A5" s="18" t="s">
        <v>237</v>
      </c>
      <c r="B5" s="131"/>
      <c r="C5" s="132"/>
      <c r="D5" s="132"/>
      <c r="E5" s="133"/>
    </row>
    <row r="6" spans="1:5" ht="15" thickBot="1" x14ac:dyDescent="0.4"/>
    <row r="7" spans="1:5" ht="15" thickBot="1" x14ac:dyDescent="0.4">
      <c r="A7" s="134" t="s">
        <v>238</v>
      </c>
      <c r="B7" s="135"/>
      <c r="C7" s="135"/>
      <c r="D7" s="135"/>
      <c r="E7" s="136"/>
    </row>
    <row r="8" spans="1:5" ht="15" thickBot="1" x14ac:dyDescent="0.4">
      <c r="A8" s="119"/>
      <c r="B8" s="120"/>
      <c r="C8" s="120"/>
      <c r="D8" s="120"/>
      <c r="E8" s="121"/>
    </row>
  </sheetData>
  <mergeCells count="6">
    <mergeCell ref="A8:E8"/>
    <mergeCell ref="A1:E1"/>
    <mergeCell ref="B3:E3"/>
    <mergeCell ref="B4:E4"/>
    <mergeCell ref="B5:E5"/>
    <mergeCell ref="A7:E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2" tint="-0.499984740745262"/>
    <pageSetUpPr fitToPage="1"/>
  </sheetPr>
  <dimension ref="A1:L87"/>
  <sheetViews>
    <sheetView topLeftCell="A10" zoomScale="70" zoomScaleNormal="70" workbookViewId="0"/>
  </sheetViews>
  <sheetFormatPr defaultColWidth="19" defaultRowHeight="14.5" x14ac:dyDescent="0.35"/>
  <cols>
    <col min="1" max="1" width="18.81640625" style="2" customWidth="1"/>
    <col min="2" max="2" width="51.1796875" style="2" customWidth="1"/>
    <col min="3" max="3" width="36" style="2" customWidth="1"/>
    <col min="4" max="4" width="28" style="2" customWidth="1"/>
    <col min="5" max="5" width="23.08984375" style="2" customWidth="1"/>
    <col min="6" max="6" width="23.90625" style="2" customWidth="1"/>
    <col min="7" max="7" width="17.81640625" style="2" customWidth="1"/>
    <col min="8" max="8" width="21.453125" style="2" hidden="1" customWidth="1"/>
    <col min="9" max="9" width="21.6328125" style="2" bestFit="1" customWidth="1"/>
    <col min="10" max="10" width="31.54296875" style="2" customWidth="1"/>
    <col min="11" max="16384" width="19" style="2"/>
  </cols>
  <sheetData>
    <row r="1" spans="1:12" ht="52.5" thickBot="1" x14ac:dyDescent="0.55000000000000004">
      <c r="A1" s="5"/>
      <c r="B1" s="94" t="s">
        <v>534</v>
      </c>
      <c r="C1" s="61" t="s">
        <v>226</v>
      </c>
      <c r="D1" s="62" t="s">
        <v>537</v>
      </c>
      <c r="H1" s="3" t="s">
        <v>554</v>
      </c>
    </row>
    <row r="2" spans="1:12" s="3" customFormat="1" ht="31" x14ac:dyDescent="0.45">
      <c r="A2" s="4"/>
      <c r="B2" s="95" t="s">
        <v>535</v>
      </c>
      <c r="C2" s="103"/>
      <c r="D2" s="93"/>
      <c r="H2" s="3" t="s">
        <v>227</v>
      </c>
      <c r="L2" s="3" t="s">
        <v>228</v>
      </c>
    </row>
    <row r="3" spans="1:12" s="3" customFormat="1" ht="46.5" x14ac:dyDescent="0.45">
      <c r="A3" s="4"/>
      <c r="B3" s="95" t="s">
        <v>538</v>
      </c>
      <c r="C3" s="104" t="s">
        <v>555</v>
      </c>
      <c r="D3" s="105"/>
    </row>
    <row r="4" spans="1:12" s="3" customFormat="1" ht="62" x14ac:dyDescent="0.45">
      <c r="A4" s="4"/>
      <c r="B4" s="95" t="s">
        <v>539</v>
      </c>
      <c r="C4" s="103"/>
      <c r="D4" s="93"/>
    </row>
    <row r="5" spans="1:12" s="3" customFormat="1" ht="35.5" customHeight="1" x14ac:dyDescent="0.45">
      <c r="A5" s="4"/>
      <c r="B5" s="95" t="s">
        <v>536</v>
      </c>
      <c r="C5" s="103"/>
      <c r="D5" s="93"/>
    </row>
    <row r="6" spans="1:12" s="3" customFormat="1" ht="77.5" x14ac:dyDescent="0.45">
      <c r="A6" s="4"/>
      <c r="B6" s="95" t="s">
        <v>556</v>
      </c>
      <c r="C6" s="103"/>
      <c r="D6" s="93"/>
    </row>
    <row r="7" spans="1:12" s="3" customFormat="1" ht="62" x14ac:dyDescent="0.45">
      <c r="A7" s="4"/>
      <c r="B7" s="95" t="s">
        <v>540</v>
      </c>
      <c r="C7" s="103"/>
      <c r="D7" s="93"/>
    </row>
    <row r="8" spans="1:12" s="3" customFormat="1" ht="46.5" x14ac:dyDescent="0.45">
      <c r="A8" s="4"/>
      <c r="B8" s="95" t="s">
        <v>541</v>
      </c>
      <c r="C8" s="103"/>
      <c r="D8" s="93"/>
    </row>
    <row r="9" spans="1:12" s="3" customFormat="1" ht="46.5" x14ac:dyDescent="0.45">
      <c r="A9" s="4"/>
      <c r="B9" s="95" t="s">
        <v>545</v>
      </c>
      <c r="C9" s="103"/>
      <c r="D9" s="93"/>
    </row>
    <row r="10" spans="1:12" s="3" customFormat="1" ht="46.5" x14ac:dyDescent="0.45">
      <c r="A10" s="4"/>
      <c r="B10" s="95" t="s">
        <v>546</v>
      </c>
      <c r="C10" s="103"/>
      <c r="D10" s="93"/>
    </row>
    <row r="11" spans="1:12" s="3" customFormat="1" ht="46.5" x14ac:dyDescent="0.45">
      <c r="A11" s="4"/>
      <c r="B11" s="95" t="s">
        <v>542</v>
      </c>
      <c r="C11" s="103"/>
      <c r="D11" s="93"/>
    </row>
    <row r="12" spans="1:12" s="3" customFormat="1" ht="62" x14ac:dyDescent="0.45">
      <c r="A12" s="4"/>
      <c r="B12" s="95" t="s">
        <v>543</v>
      </c>
      <c r="C12" s="103"/>
      <c r="D12" s="93"/>
    </row>
    <row r="13" spans="1:12" s="3" customFormat="1" ht="46.5" x14ac:dyDescent="0.45">
      <c r="A13" s="4"/>
      <c r="B13" s="95" t="s">
        <v>544</v>
      </c>
      <c r="C13" s="103"/>
      <c r="D13" s="93"/>
    </row>
    <row r="14" spans="1:12" s="3" customFormat="1" ht="18.5" x14ac:dyDescent="0.45">
      <c r="A14" s="4"/>
      <c r="B14" s="101"/>
      <c r="C14" s="101"/>
      <c r="D14" s="101"/>
    </row>
    <row r="15" spans="1:12" s="3" customFormat="1" ht="18.5" x14ac:dyDescent="0.45">
      <c r="A15" s="4"/>
      <c r="B15" s="102" t="s">
        <v>547</v>
      </c>
      <c r="C15" s="101"/>
      <c r="D15" s="101"/>
    </row>
    <row r="16" spans="1:12" s="3" customFormat="1" ht="31" x14ac:dyDescent="0.45">
      <c r="A16" s="4"/>
      <c r="B16" s="95" t="s">
        <v>548</v>
      </c>
      <c r="C16" s="101"/>
      <c r="D16" s="101"/>
    </row>
    <row r="17" spans="1:8" s="3" customFormat="1" ht="31" x14ac:dyDescent="0.45">
      <c r="A17" s="4"/>
      <c r="B17" s="95" t="s">
        <v>549</v>
      </c>
      <c r="C17" s="101"/>
      <c r="D17" s="101"/>
    </row>
    <row r="18" spans="1:8" s="3" customFormat="1" ht="18.5" x14ac:dyDescent="0.45">
      <c r="A18" s="4"/>
      <c r="B18" s="95" t="s">
        <v>550</v>
      </c>
      <c r="C18" s="101"/>
      <c r="D18" s="101"/>
    </row>
    <row r="19" spans="1:8" s="3" customFormat="1" ht="31" x14ac:dyDescent="0.45">
      <c r="A19" s="4"/>
      <c r="B19" s="95" t="s">
        <v>551</v>
      </c>
      <c r="C19" s="101"/>
      <c r="D19" s="101"/>
    </row>
    <row r="20" spans="1:8" s="3" customFormat="1" ht="18.5" customHeight="1" x14ac:dyDescent="0.45">
      <c r="A20" s="4"/>
      <c r="B20" s="95" t="s">
        <v>552</v>
      </c>
      <c r="C20" s="101"/>
      <c r="D20" s="101"/>
    </row>
    <row r="21" spans="1:8" s="3" customFormat="1" ht="18.5" customHeight="1" x14ac:dyDescent="0.45">
      <c r="A21" s="4"/>
      <c r="B21" s="95" t="s">
        <v>553</v>
      </c>
      <c r="C21" s="101"/>
      <c r="D21" s="101"/>
    </row>
    <row r="22" spans="1:8" s="3" customFormat="1" ht="18.5" customHeight="1" x14ac:dyDescent="0.45">
      <c r="A22" s="4"/>
      <c r="B22" s="100"/>
      <c r="C22" s="101"/>
      <c r="D22" s="101"/>
    </row>
    <row r="23" spans="1:8" ht="15" thickBot="1" x14ac:dyDescent="0.4"/>
    <row r="24" spans="1:8" ht="15" thickBot="1" x14ac:dyDescent="0.4">
      <c r="A24" s="98" t="s">
        <v>232</v>
      </c>
      <c r="B24" s="99"/>
      <c r="C24" s="96" t="s">
        <v>233</v>
      </c>
      <c r="D24" s="97"/>
      <c r="E24" s="97"/>
      <c r="F24"/>
      <c r="G24"/>
      <c r="H24"/>
    </row>
    <row r="25" spans="1:8" x14ac:dyDescent="0.35">
      <c r="A25" s="13" t="s">
        <v>234</v>
      </c>
      <c r="B25" s="13" t="s">
        <v>222</v>
      </c>
      <c r="C25" s="14" t="s">
        <v>161</v>
      </c>
      <c r="D25" s="15" t="s">
        <v>235</v>
      </c>
      <c r="E25" s="12" t="s">
        <v>106</v>
      </c>
      <c r="F25" s="2" t="s">
        <v>162</v>
      </c>
    </row>
    <row r="26" spans="1:8" x14ac:dyDescent="0.35">
      <c r="A26" s="1"/>
      <c r="B26" s="1"/>
      <c r="C26" s="1"/>
      <c r="D26" s="1"/>
      <c r="E26" s="1"/>
    </row>
    <row r="27" spans="1:8" x14ac:dyDescent="0.35">
      <c r="A27" s="1"/>
      <c r="B27" s="1"/>
      <c r="C27" s="1"/>
      <c r="D27" s="1"/>
      <c r="E27" s="1"/>
    </row>
    <row r="28" spans="1:8" x14ac:dyDescent="0.35">
      <c r="A28" s="1"/>
      <c r="B28" s="1"/>
      <c r="C28" s="1"/>
      <c r="D28" s="1"/>
      <c r="E28" s="1"/>
    </row>
    <row r="29" spans="1:8" x14ac:dyDescent="0.35">
      <c r="A29" s="1"/>
      <c r="B29" s="1"/>
      <c r="C29" s="1"/>
      <c r="D29" s="1"/>
      <c r="E29" s="1"/>
    </row>
    <row r="30" spans="1:8" x14ac:dyDescent="0.35">
      <c r="A30" s="1"/>
      <c r="B30" s="1"/>
      <c r="C30" s="1"/>
      <c r="D30" s="1"/>
      <c r="E30" s="1"/>
    </row>
    <row r="31" spans="1:8" x14ac:dyDescent="0.35">
      <c r="A31" s="1"/>
      <c r="B31" s="1"/>
      <c r="C31" s="1"/>
      <c r="D31" s="1"/>
      <c r="E31" s="1"/>
    </row>
    <row r="32" spans="1:8" x14ac:dyDescent="0.35">
      <c r="A32" s="1"/>
      <c r="B32" s="1"/>
      <c r="C32" s="1"/>
      <c r="D32" s="1"/>
      <c r="E32" s="1"/>
    </row>
    <row r="33" spans="1:5" x14ac:dyDescent="0.35">
      <c r="A33" s="1"/>
      <c r="B33" s="1"/>
      <c r="C33" s="1"/>
      <c r="D33" s="1"/>
      <c r="E33" s="1"/>
    </row>
    <row r="34" spans="1:5" x14ac:dyDescent="0.35">
      <c r="A34" s="1"/>
      <c r="B34" s="1"/>
      <c r="C34" s="1"/>
      <c r="D34" s="1"/>
      <c r="E34" s="1"/>
    </row>
    <row r="35" spans="1:5" x14ac:dyDescent="0.35">
      <c r="A35" s="1"/>
      <c r="B35" s="1"/>
      <c r="C35" s="1"/>
      <c r="D35" s="1"/>
      <c r="E35" s="1"/>
    </row>
    <row r="36" spans="1:5" x14ac:dyDescent="0.35">
      <c r="A36" s="1"/>
      <c r="B36" s="1"/>
      <c r="C36" s="1"/>
      <c r="D36" s="1"/>
      <c r="E36" s="1"/>
    </row>
    <row r="37" spans="1:5" x14ac:dyDescent="0.35">
      <c r="A37" s="1"/>
      <c r="B37" s="1"/>
      <c r="C37" s="1"/>
      <c r="D37" s="1"/>
      <c r="E37" s="1"/>
    </row>
    <row r="38" spans="1:5" x14ac:dyDescent="0.35">
      <c r="A38" s="1"/>
      <c r="B38" s="1"/>
      <c r="C38" s="1"/>
      <c r="D38" s="1"/>
      <c r="E38" s="1"/>
    </row>
    <row r="39" spans="1:5" x14ac:dyDescent="0.35">
      <c r="A39" s="1"/>
      <c r="B39" s="1"/>
      <c r="C39" s="1"/>
      <c r="D39" s="1"/>
      <c r="E39" s="1"/>
    </row>
    <row r="40" spans="1:5" x14ac:dyDescent="0.35">
      <c r="A40" s="1"/>
      <c r="B40" s="1"/>
      <c r="C40" s="1"/>
      <c r="D40" s="1"/>
      <c r="E40" s="1"/>
    </row>
    <row r="41" spans="1:5" x14ac:dyDescent="0.35">
      <c r="A41" s="1"/>
      <c r="B41" s="1"/>
      <c r="C41" s="1"/>
      <c r="D41" s="1"/>
      <c r="E41" s="1"/>
    </row>
    <row r="42" spans="1:5" x14ac:dyDescent="0.35">
      <c r="A42" s="1"/>
      <c r="B42" s="1"/>
      <c r="C42" s="1"/>
      <c r="D42" s="1"/>
      <c r="E42" s="1"/>
    </row>
    <row r="43" spans="1:5" x14ac:dyDescent="0.35">
      <c r="A43" s="1"/>
      <c r="B43" s="1"/>
      <c r="C43" s="1"/>
      <c r="D43" s="1"/>
      <c r="E43" s="1"/>
    </row>
    <row r="44" spans="1:5" x14ac:dyDescent="0.35">
      <c r="A44" s="1"/>
      <c r="B44" s="1"/>
      <c r="C44" s="1"/>
      <c r="D44" s="1"/>
      <c r="E44" s="1"/>
    </row>
    <row r="45" spans="1:5" x14ac:dyDescent="0.35">
      <c r="A45" s="1"/>
      <c r="B45" s="1"/>
      <c r="C45" s="1"/>
      <c r="D45" s="1"/>
      <c r="E45" s="1"/>
    </row>
    <row r="46" spans="1:5" x14ac:dyDescent="0.35">
      <c r="A46" s="1"/>
      <c r="B46" s="1"/>
      <c r="C46" s="1"/>
      <c r="D46" s="1"/>
      <c r="E46" s="1"/>
    </row>
    <row r="47" spans="1:5" x14ac:dyDescent="0.35">
      <c r="A47" s="1"/>
      <c r="B47" s="1"/>
      <c r="C47" s="1"/>
      <c r="D47" s="1"/>
      <c r="E47" s="1"/>
    </row>
    <row r="48" spans="1:5" x14ac:dyDescent="0.35">
      <c r="A48" s="1"/>
      <c r="B48" s="1"/>
      <c r="C48" s="1"/>
      <c r="D48" s="1"/>
      <c r="E48" s="1"/>
    </row>
    <row r="49" spans="1:5" x14ac:dyDescent="0.35">
      <c r="A49" s="1"/>
      <c r="B49" s="1"/>
      <c r="C49" s="1"/>
      <c r="D49" s="1"/>
      <c r="E49" s="1"/>
    </row>
    <row r="50" spans="1:5" x14ac:dyDescent="0.35">
      <c r="A50" s="1"/>
      <c r="B50" s="1"/>
      <c r="C50" s="1"/>
      <c r="D50" s="1"/>
      <c r="E50" s="1"/>
    </row>
    <row r="51" spans="1:5" x14ac:dyDescent="0.35">
      <c r="A51" s="1"/>
      <c r="B51" s="1"/>
      <c r="C51" s="1"/>
      <c r="D51" s="1"/>
      <c r="E51" s="1"/>
    </row>
    <row r="52" spans="1:5" x14ac:dyDescent="0.35">
      <c r="A52" s="1"/>
      <c r="B52" s="1"/>
      <c r="C52" s="1"/>
      <c r="D52" s="1"/>
      <c r="E52" s="1"/>
    </row>
    <row r="53" spans="1:5" x14ac:dyDescent="0.35">
      <c r="A53" s="1"/>
      <c r="B53" s="1"/>
      <c r="C53" s="1"/>
      <c r="D53" s="1"/>
      <c r="E53" s="1"/>
    </row>
    <row r="54" spans="1:5" x14ac:dyDescent="0.35">
      <c r="A54" s="1"/>
      <c r="B54" s="1"/>
      <c r="C54" s="1"/>
      <c r="D54" s="1"/>
      <c r="E54" s="1"/>
    </row>
    <row r="55" spans="1:5" x14ac:dyDescent="0.35">
      <c r="A55" s="1"/>
      <c r="B55" s="1"/>
      <c r="C55" s="1"/>
      <c r="D55" s="1"/>
      <c r="E55" s="1"/>
    </row>
    <row r="56" spans="1:5" x14ac:dyDescent="0.35">
      <c r="A56" s="1"/>
      <c r="B56" s="1"/>
      <c r="C56" s="1"/>
      <c r="D56" s="1"/>
      <c r="E56" s="1"/>
    </row>
    <row r="57" spans="1:5" x14ac:dyDescent="0.35">
      <c r="A57" s="1"/>
      <c r="B57" s="1"/>
      <c r="C57" s="1"/>
      <c r="D57" s="1"/>
      <c r="E57" s="1"/>
    </row>
    <row r="58" spans="1:5" x14ac:dyDescent="0.35">
      <c r="A58" s="1"/>
      <c r="B58" s="1"/>
      <c r="C58" s="1"/>
      <c r="D58" s="1"/>
      <c r="E58" s="1"/>
    </row>
    <row r="59" spans="1:5" x14ac:dyDescent="0.35">
      <c r="A59" s="1"/>
      <c r="B59" s="1"/>
      <c r="C59" s="1"/>
      <c r="D59" s="1"/>
      <c r="E59" s="1"/>
    </row>
    <row r="60" spans="1:5" x14ac:dyDescent="0.35">
      <c r="A60" s="1"/>
      <c r="B60" s="1"/>
      <c r="C60" s="1"/>
      <c r="D60" s="1"/>
      <c r="E60" s="1"/>
    </row>
    <row r="61" spans="1:5" x14ac:dyDescent="0.35">
      <c r="A61" s="1"/>
      <c r="B61" s="1"/>
      <c r="C61" s="1"/>
      <c r="D61" s="1"/>
      <c r="E61" s="1"/>
    </row>
    <row r="62" spans="1:5" x14ac:dyDescent="0.35">
      <c r="A62" s="1"/>
      <c r="B62" s="1"/>
      <c r="C62" s="1"/>
      <c r="D62" s="1"/>
      <c r="E62" s="1"/>
    </row>
    <row r="63" spans="1:5" x14ac:dyDescent="0.35">
      <c r="A63" s="1"/>
      <c r="B63" s="1"/>
      <c r="C63" s="1"/>
      <c r="D63" s="1"/>
      <c r="E63" s="1"/>
    </row>
    <row r="64" spans="1:5" x14ac:dyDescent="0.35">
      <c r="A64" s="1"/>
      <c r="B64" s="1"/>
      <c r="C64" s="1"/>
      <c r="D64" s="1"/>
      <c r="E64" s="1"/>
    </row>
    <row r="65" spans="1:5" x14ac:dyDescent="0.35">
      <c r="A65" s="1"/>
      <c r="B65" s="1"/>
      <c r="C65" s="1"/>
      <c r="D65" s="1"/>
      <c r="E65" s="1"/>
    </row>
    <row r="66" spans="1:5" x14ac:dyDescent="0.35">
      <c r="A66" s="1"/>
      <c r="B66" s="1"/>
      <c r="C66" s="1"/>
      <c r="D66" s="1"/>
      <c r="E66" s="1"/>
    </row>
    <row r="67" spans="1:5" x14ac:dyDescent="0.35">
      <c r="A67" s="1"/>
      <c r="B67" s="1"/>
      <c r="C67" s="1"/>
      <c r="D67" s="1"/>
      <c r="E67" s="1"/>
    </row>
    <row r="68" spans="1:5" x14ac:dyDescent="0.35">
      <c r="A68" s="1"/>
      <c r="B68" s="1"/>
      <c r="C68" s="1"/>
      <c r="D68" s="1"/>
      <c r="E68" s="1"/>
    </row>
    <row r="69" spans="1:5" x14ac:dyDescent="0.35">
      <c r="A69" s="1"/>
      <c r="B69" s="1"/>
      <c r="C69" s="1"/>
      <c r="D69" s="1"/>
      <c r="E69" s="1"/>
    </row>
    <row r="70" spans="1:5" x14ac:dyDescent="0.35">
      <c r="A70" s="1"/>
      <c r="B70" s="1"/>
      <c r="C70" s="1"/>
      <c r="D70" s="1"/>
      <c r="E70" s="1"/>
    </row>
    <row r="71" spans="1:5" x14ac:dyDescent="0.35">
      <c r="A71" s="1"/>
      <c r="B71" s="1"/>
      <c r="C71" s="1"/>
      <c r="D71" s="1"/>
      <c r="E71" s="1"/>
    </row>
    <row r="72" spans="1:5" x14ac:dyDescent="0.35">
      <c r="A72" s="1"/>
      <c r="B72" s="1"/>
      <c r="C72" s="1"/>
      <c r="D72" s="1"/>
      <c r="E72" s="1"/>
    </row>
    <row r="73" spans="1:5" x14ac:dyDescent="0.35">
      <c r="A73" s="1"/>
      <c r="B73" s="1"/>
      <c r="C73" s="1"/>
      <c r="D73" s="1"/>
      <c r="E73" s="1"/>
    </row>
    <row r="74" spans="1:5" x14ac:dyDescent="0.35">
      <c r="A74" s="1"/>
      <c r="B74" s="1"/>
      <c r="C74" s="1"/>
      <c r="D74" s="1"/>
      <c r="E74" s="1"/>
    </row>
    <row r="75" spans="1:5" x14ac:dyDescent="0.35">
      <c r="A75" s="1"/>
      <c r="B75" s="1"/>
      <c r="C75" s="1"/>
      <c r="D75" s="1"/>
      <c r="E75" s="1"/>
    </row>
    <row r="76" spans="1:5" x14ac:dyDescent="0.35">
      <c r="A76" s="1"/>
      <c r="B76" s="1"/>
      <c r="C76" s="1"/>
      <c r="D76" s="1"/>
      <c r="E76" s="1"/>
    </row>
    <row r="77" spans="1:5" x14ac:dyDescent="0.35">
      <c r="A77" s="1"/>
      <c r="B77" s="1"/>
      <c r="C77" s="1"/>
      <c r="D77" s="1"/>
      <c r="E77" s="1"/>
    </row>
    <row r="78" spans="1:5" x14ac:dyDescent="0.35">
      <c r="A78" s="1"/>
      <c r="B78" s="1"/>
      <c r="C78" s="1"/>
      <c r="D78" s="1"/>
      <c r="E78" s="1"/>
    </row>
    <row r="79" spans="1:5" x14ac:dyDescent="0.35">
      <c r="A79" s="1"/>
      <c r="B79" s="1"/>
      <c r="C79" s="1"/>
      <c r="D79" s="1"/>
      <c r="E79" s="1"/>
    </row>
    <row r="80" spans="1:5" x14ac:dyDescent="0.35">
      <c r="A80" s="1"/>
      <c r="B80" s="1"/>
      <c r="C80" s="1"/>
      <c r="D80" s="1"/>
      <c r="E80" s="1"/>
    </row>
    <row r="81" spans="1:5" x14ac:dyDescent="0.35">
      <c r="A81" s="1"/>
      <c r="B81" s="1"/>
      <c r="C81" s="1"/>
      <c r="D81" s="1"/>
      <c r="E81" s="1"/>
    </row>
    <row r="82" spans="1:5" x14ac:dyDescent="0.35">
      <c r="A82" s="1"/>
      <c r="B82" s="1"/>
      <c r="C82" s="1"/>
      <c r="D82" s="1"/>
      <c r="E82" s="1"/>
    </row>
    <row r="83" spans="1:5" x14ac:dyDescent="0.35">
      <c r="A83" s="1"/>
      <c r="B83" s="1"/>
      <c r="C83" s="1"/>
      <c r="D83" s="1"/>
      <c r="E83" s="1"/>
    </row>
    <row r="84" spans="1:5" x14ac:dyDescent="0.35">
      <c r="A84" s="1"/>
      <c r="B84" s="1"/>
      <c r="C84" s="1"/>
      <c r="D84" s="1"/>
      <c r="E84" s="1"/>
    </row>
    <row r="85" spans="1:5" x14ac:dyDescent="0.35">
      <c r="A85" s="1"/>
      <c r="B85" s="1"/>
      <c r="C85" s="1"/>
      <c r="D85" s="1"/>
      <c r="E85" s="1"/>
    </row>
    <row r="86" spans="1:5" x14ac:dyDescent="0.35">
      <c r="A86" s="1"/>
      <c r="B86" s="1"/>
      <c r="C86" s="1"/>
      <c r="D86" s="1"/>
      <c r="E86" s="1"/>
    </row>
    <row r="87" spans="1:5" x14ac:dyDescent="0.35">
      <c r="A87" s="1"/>
      <c r="B87" s="1"/>
      <c r="C87" s="1"/>
      <c r="D87" s="1"/>
      <c r="E87" s="1"/>
    </row>
  </sheetData>
  <dataValidations count="1">
    <dataValidation type="list" allowBlank="1" showInputMessage="1" showErrorMessage="1" sqref="C2 C4:C13" xr:uid="{F6EBB477-685E-4ADF-A5A7-9F63D30F8765}">
      <formula1>$H$1:$H$2</formula1>
    </dataValidation>
  </dataValidations>
  <pageMargins left="0.25" right="0.25" top="0.75" bottom="0.75" header="0.3" footer="0.3"/>
  <pageSetup scale="5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93904-B59E-4518-8453-5D766925B783}">
  <sheetPr>
    <tabColor rgb="FFFFC000"/>
  </sheetPr>
  <dimension ref="B2:M4"/>
  <sheetViews>
    <sheetView workbookViewId="0">
      <selection activeCell="O2" sqref="O2"/>
    </sheetView>
  </sheetViews>
  <sheetFormatPr defaultRowHeight="14.5" x14ac:dyDescent="0.35"/>
  <sheetData>
    <row r="2" spans="2:13" x14ac:dyDescent="0.35">
      <c r="C2" s="137" t="s">
        <v>528</v>
      </c>
      <c r="D2" s="137"/>
      <c r="E2" s="137"/>
      <c r="F2" s="137"/>
      <c r="G2" s="137"/>
      <c r="H2" s="137"/>
      <c r="I2" s="137"/>
      <c r="J2" s="137"/>
      <c r="K2" s="137"/>
      <c r="L2" s="137"/>
    </row>
    <row r="3" spans="2:13" ht="15" thickBot="1" x14ac:dyDescent="0.4">
      <c r="C3" s="11"/>
      <c r="D3" s="11"/>
      <c r="E3" s="11"/>
      <c r="F3" s="11"/>
      <c r="G3" s="11"/>
      <c r="H3" s="11"/>
      <c r="I3" s="11"/>
      <c r="J3" s="11"/>
      <c r="K3" s="11"/>
      <c r="L3" s="11"/>
    </row>
    <row r="4" spans="2:13" ht="15" thickBot="1" x14ac:dyDescent="0.4">
      <c r="B4" s="138" t="s">
        <v>527</v>
      </c>
      <c r="C4" s="139"/>
      <c r="D4" s="139"/>
      <c r="E4" s="139"/>
      <c r="F4" s="139"/>
      <c r="G4" s="139"/>
      <c r="H4" s="139"/>
      <c r="I4" s="139"/>
      <c r="J4" s="139"/>
      <c r="K4" s="139"/>
      <c r="L4" s="139"/>
      <c r="M4" s="140"/>
    </row>
  </sheetData>
  <mergeCells count="2">
    <mergeCell ref="C2:L2"/>
    <mergeCell ref="B4:M4"/>
  </mergeCells>
  <pageMargins left="0.7" right="0.7" top="0.75" bottom="0.75" header="0.3" footer="0.3"/>
  <pageSetup orientation="portrait" horizontalDpi="0" verticalDpi="0" r:id="rId1"/>
  <drawing r:id="rId2"/>
  <legacyDrawing r:id="rId3"/>
  <oleObjects>
    <mc:AlternateContent xmlns:mc="http://schemas.openxmlformats.org/markup-compatibility/2006">
      <mc:Choice Requires="x14">
        <oleObject progId="Word.Document.12" shapeId="24577" r:id="rId4">
          <objectPr defaultSize="0" r:id="rId5">
            <anchor moveWithCells="1">
              <from>
                <xdr:col>0</xdr:col>
                <xdr:colOff>450850</xdr:colOff>
                <xdr:row>4</xdr:row>
                <xdr:rowOff>69850</xdr:rowOff>
              </from>
              <to>
                <xdr:col>13</xdr:col>
                <xdr:colOff>387350</xdr:colOff>
                <xdr:row>41</xdr:row>
                <xdr:rowOff>139700</xdr:rowOff>
              </to>
            </anchor>
          </objectPr>
        </oleObject>
      </mc:Choice>
      <mc:Fallback>
        <oleObject progId="Word.Document.12" shapeId="24577" r:id="rId4"/>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4C4DF-E04E-49B8-8DEE-DF0AD8717B3B}">
  <sheetPr>
    <tabColor theme="4" tint="0.79998168889431442"/>
  </sheetPr>
  <dimension ref="A1:CO22"/>
  <sheetViews>
    <sheetView topLeftCell="AN1" zoomScale="70" zoomScaleNormal="70" workbookViewId="0">
      <selection activeCell="A3" sqref="A3:CO3"/>
    </sheetView>
  </sheetViews>
  <sheetFormatPr defaultColWidth="9.08984375" defaultRowHeight="14.5" x14ac:dyDescent="0.35"/>
  <cols>
    <col min="1" max="1" width="18.36328125" style="33" bestFit="1" customWidth="1"/>
    <col min="2" max="2" width="17" style="33" bestFit="1" customWidth="1"/>
    <col min="3" max="3" width="17.6328125" style="33" bestFit="1" customWidth="1"/>
    <col min="4" max="4" width="18.54296875" style="33" bestFit="1" customWidth="1"/>
    <col min="5" max="5" width="16.90625" style="33" bestFit="1" customWidth="1"/>
    <col min="6" max="6" width="17.08984375" style="33" bestFit="1" customWidth="1"/>
    <col min="7" max="7" width="18.453125" style="33" bestFit="1" customWidth="1"/>
    <col min="8" max="8" width="16.90625" style="33" bestFit="1" customWidth="1"/>
    <col min="9" max="9" width="17.1796875" style="33" bestFit="1" customWidth="1"/>
    <col min="10" max="10" width="17.36328125" style="33" bestFit="1" customWidth="1"/>
    <col min="11" max="11" width="24.6328125" style="33" bestFit="1" customWidth="1"/>
    <col min="12" max="12" width="17.08984375" style="33" bestFit="1" customWidth="1"/>
    <col min="13" max="13" width="16.36328125" style="33" bestFit="1" customWidth="1"/>
    <col min="14" max="14" width="17.08984375" style="33" bestFit="1" customWidth="1"/>
    <col min="15" max="15" width="28.54296875" style="33" bestFit="1" customWidth="1"/>
    <col min="16" max="16" width="16.54296875" style="33" bestFit="1" customWidth="1"/>
    <col min="17" max="17" width="18" style="33" bestFit="1" customWidth="1"/>
    <col min="18" max="18" width="17.6328125" style="33" bestFit="1" customWidth="1"/>
    <col min="19" max="19" width="16.6328125" style="33" bestFit="1" customWidth="1"/>
    <col min="20" max="20" width="17.36328125" style="33" bestFit="1" customWidth="1"/>
    <col min="21" max="21" width="17.08984375" style="33" bestFit="1" customWidth="1"/>
    <col min="22" max="22" width="17.6328125" style="33" bestFit="1" customWidth="1"/>
    <col min="23" max="23" width="21.81640625" style="33" bestFit="1" customWidth="1"/>
    <col min="24" max="24" width="21.54296875" style="33" bestFit="1" customWidth="1"/>
    <col min="25" max="25" width="26.1796875" style="33" bestFit="1" customWidth="1"/>
    <col min="26" max="26" width="25.36328125" style="33" bestFit="1" customWidth="1"/>
    <col min="27" max="27" width="24.36328125" style="33" bestFit="1" customWidth="1"/>
    <col min="28" max="28" width="28.90625" style="33" bestFit="1" customWidth="1"/>
    <col min="29" max="29" width="39.6328125" style="33" bestFit="1" customWidth="1"/>
    <col min="30" max="30" width="28.453125" style="33" bestFit="1" customWidth="1"/>
    <col min="31" max="31" width="23.54296875" style="33" bestFit="1" customWidth="1"/>
    <col min="32" max="32" width="27.1796875" style="33" bestFit="1" customWidth="1"/>
    <col min="33" max="33" width="27.54296875" style="33" bestFit="1" customWidth="1"/>
    <col min="34" max="34" width="24.36328125" style="33" bestFit="1" customWidth="1"/>
    <col min="35" max="35" width="22.90625" style="33" bestFit="1" customWidth="1"/>
    <col min="36" max="36" width="24.08984375" style="33" bestFit="1" customWidth="1"/>
    <col min="37" max="37" width="22.90625" style="33" bestFit="1" customWidth="1"/>
    <col min="38" max="38" width="23.6328125" style="33" bestFit="1" customWidth="1"/>
    <col min="39" max="39" width="17.81640625" style="33" bestFit="1" customWidth="1"/>
    <col min="40" max="40" width="17.36328125" style="33" bestFit="1" customWidth="1"/>
    <col min="41" max="41" width="17.90625" style="33" bestFit="1" customWidth="1"/>
    <col min="42" max="42" width="17.6328125" style="33" bestFit="1" customWidth="1"/>
    <col min="43" max="43" width="20.6328125" style="33" bestFit="1" customWidth="1"/>
    <col min="44" max="45" width="17.08984375" style="33" bestFit="1" customWidth="1"/>
    <col min="46" max="46" width="16.6328125" style="33" bestFit="1" customWidth="1"/>
    <col min="47" max="47" width="17.81640625" style="33" bestFit="1" customWidth="1"/>
    <col min="48" max="48" width="27" style="33" bestFit="1" customWidth="1"/>
    <col min="49" max="49" width="18.36328125" style="33" bestFit="1" customWidth="1"/>
    <col min="50" max="50" width="17.1796875" style="33" bestFit="1" customWidth="1"/>
    <col min="51" max="51" width="17.6328125" style="33" bestFit="1" customWidth="1"/>
    <col min="52" max="52" width="17.36328125" style="33" bestFit="1" customWidth="1"/>
    <col min="53" max="54" width="16.54296875" style="33" bestFit="1" customWidth="1"/>
    <col min="55" max="55" width="21.36328125" style="33" bestFit="1" customWidth="1"/>
    <col min="56" max="56" width="17.453125" style="33" bestFit="1" customWidth="1"/>
    <col min="57" max="57" width="21.6328125" style="33" bestFit="1" customWidth="1"/>
    <col min="58" max="58" width="17.6328125" style="33" bestFit="1" customWidth="1"/>
    <col min="59" max="59" width="16.6328125" style="33" bestFit="1" customWidth="1"/>
    <col min="60" max="60" width="28.81640625" style="33" bestFit="1" customWidth="1"/>
    <col min="61" max="61" width="17.90625" style="33" bestFit="1" customWidth="1"/>
    <col min="62" max="62" width="23.81640625" style="33" bestFit="1" customWidth="1"/>
    <col min="63" max="63" width="30.81640625" style="33" bestFit="1" customWidth="1"/>
    <col min="64" max="64" width="26.90625" style="33" bestFit="1" customWidth="1"/>
    <col min="65" max="65" width="28.36328125" style="33" bestFit="1" customWidth="1"/>
    <col min="66" max="66" width="30.1796875" style="33" bestFit="1" customWidth="1"/>
    <col min="67" max="67" width="27.81640625" style="33" bestFit="1" customWidth="1"/>
    <col min="68" max="68" width="32" style="33" bestFit="1" customWidth="1"/>
    <col min="69" max="69" width="28.81640625" style="33" bestFit="1" customWidth="1"/>
    <col min="70" max="70" width="37.1796875" style="33" bestFit="1" customWidth="1"/>
    <col min="71" max="71" width="28.08984375" style="33" bestFit="1" customWidth="1"/>
    <col min="72" max="72" width="26.36328125" style="33" bestFit="1" customWidth="1"/>
    <col min="73" max="73" width="29.1796875" style="33" bestFit="1" customWidth="1"/>
    <col min="74" max="74" width="36.6328125" style="33" bestFit="1" customWidth="1"/>
    <col min="75" max="75" width="20" style="33" bestFit="1" customWidth="1"/>
    <col min="76" max="76" width="19.453125" style="33" bestFit="1" customWidth="1"/>
    <col min="77" max="77" width="19.6328125" style="33" bestFit="1" customWidth="1"/>
    <col min="78" max="78" width="27.6328125" style="33" bestFit="1" customWidth="1"/>
    <col min="79" max="79" width="25.81640625" style="33" bestFit="1" customWidth="1"/>
    <col min="80" max="80" width="27.6328125" style="33" bestFit="1" customWidth="1"/>
    <col min="81" max="81" width="34.08984375" style="33" bestFit="1" customWidth="1"/>
    <col min="82" max="82" width="35.6328125" style="33" bestFit="1" customWidth="1"/>
    <col min="83" max="83" width="26.81640625" style="33" bestFit="1" customWidth="1"/>
    <col min="84" max="84" width="16.453125" style="33" bestFit="1" customWidth="1"/>
    <col min="85" max="85" width="16.54296875" style="33" bestFit="1" customWidth="1"/>
    <col min="86" max="86" width="27.81640625" style="33" bestFit="1" customWidth="1"/>
    <col min="87" max="87" width="30.6328125" style="33" bestFit="1" customWidth="1"/>
    <col min="88" max="88" width="26.54296875" style="33" bestFit="1" customWidth="1"/>
    <col min="89" max="89" width="26.81640625" style="33" bestFit="1" customWidth="1"/>
    <col min="90" max="90" width="28.453125" style="33" bestFit="1" customWidth="1"/>
    <col min="91" max="91" width="26.6328125" style="33" bestFit="1" customWidth="1"/>
    <col min="92" max="92" width="34.08984375" style="33" bestFit="1" customWidth="1"/>
    <col min="93" max="93" width="21.08984375" style="33" bestFit="1" customWidth="1"/>
    <col min="94" max="16384" width="9.08984375" style="33"/>
  </cols>
  <sheetData>
    <row r="1" spans="1:93" x14ac:dyDescent="0.35">
      <c r="A1" s="29"/>
      <c r="B1" s="30" t="s">
        <v>89</v>
      </c>
      <c r="C1" s="30" t="s">
        <v>90</v>
      </c>
      <c r="D1" s="30" t="s">
        <v>91</v>
      </c>
      <c r="E1" s="30" t="s">
        <v>92</v>
      </c>
      <c r="F1" s="30" t="s">
        <v>93</v>
      </c>
      <c r="G1" s="31" t="s">
        <v>94</v>
      </c>
      <c r="H1" s="30" t="s">
        <v>95</v>
      </c>
      <c r="I1" s="30" t="s">
        <v>96</v>
      </c>
      <c r="J1" s="31" t="s">
        <v>97</v>
      </c>
      <c r="K1" s="31" t="s">
        <v>98</v>
      </c>
      <c r="L1" s="30" t="s">
        <v>99</v>
      </c>
      <c r="M1" s="30" t="s">
        <v>100</v>
      </c>
      <c r="N1" s="30" t="s">
        <v>101</v>
      </c>
      <c r="O1" s="30" t="s">
        <v>102</v>
      </c>
      <c r="P1" s="30" t="s">
        <v>103</v>
      </c>
      <c r="Q1" s="30" t="s">
        <v>104</v>
      </c>
      <c r="R1" s="30" t="s">
        <v>105</v>
      </c>
      <c r="S1" s="37" t="s">
        <v>212</v>
      </c>
      <c r="T1" s="30" t="s">
        <v>107</v>
      </c>
      <c r="U1" s="30" t="s">
        <v>108</v>
      </c>
      <c r="V1" s="31" t="s">
        <v>109</v>
      </c>
      <c r="W1" s="30" t="s">
        <v>110</v>
      </c>
      <c r="X1" s="30" t="s">
        <v>211</v>
      </c>
      <c r="Y1" s="31" t="s">
        <v>210</v>
      </c>
      <c r="Z1" s="31" t="s">
        <v>111</v>
      </c>
      <c r="AA1" s="31" t="s">
        <v>112</v>
      </c>
      <c r="AB1" s="31" t="s">
        <v>113</v>
      </c>
      <c r="AC1" s="31" t="s">
        <v>114</v>
      </c>
      <c r="AD1" s="31" t="s">
        <v>115</v>
      </c>
      <c r="AE1" s="31" t="s">
        <v>116</v>
      </c>
      <c r="AF1" s="31" t="s">
        <v>117</v>
      </c>
      <c r="AG1" s="31" t="s">
        <v>118</v>
      </c>
      <c r="AH1" s="30" t="s">
        <v>209</v>
      </c>
      <c r="AI1" s="30" t="s">
        <v>208</v>
      </c>
      <c r="AJ1" s="30" t="s">
        <v>207</v>
      </c>
      <c r="AK1" s="41" t="s">
        <v>206</v>
      </c>
      <c r="AL1" s="29" t="s">
        <v>205</v>
      </c>
      <c r="AM1" s="31" t="s">
        <v>121</v>
      </c>
      <c r="AN1" s="30" t="s">
        <v>119</v>
      </c>
      <c r="AO1" s="30" t="s">
        <v>120</v>
      </c>
      <c r="AP1" s="30" t="s">
        <v>122</v>
      </c>
      <c r="AQ1" s="30" t="s">
        <v>123</v>
      </c>
      <c r="AR1" s="30" t="s">
        <v>124</v>
      </c>
      <c r="AS1" s="30" t="s">
        <v>125</v>
      </c>
      <c r="AT1" s="30" t="s">
        <v>126</v>
      </c>
      <c r="AU1" s="31" t="s">
        <v>128</v>
      </c>
      <c r="AV1" s="31" t="s">
        <v>146</v>
      </c>
      <c r="AW1" s="31" t="s">
        <v>136</v>
      </c>
      <c r="AX1" s="30" t="s">
        <v>129</v>
      </c>
      <c r="AY1" s="30" t="s">
        <v>130</v>
      </c>
      <c r="AZ1" s="30" t="s">
        <v>131</v>
      </c>
      <c r="BA1" s="30" t="s">
        <v>132</v>
      </c>
      <c r="BB1" s="30" t="s">
        <v>133</v>
      </c>
      <c r="BC1" s="30" t="s">
        <v>134</v>
      </c>
      <c r="BD1" s="30" t="s">
        <v>135</v>
      </c>
      <c r="BE1" s="30" t="s">
        <v>137</v>
      </c>
      <c r="BF1" s="30" t="s">
        <v>139</v>
      </c>
      <c r="BG1" s="38" t="s">
        <v>138</v>
      </c>
      <c r="BH1" s="38" t="s">
        <v>141</v>
      </c>
      <c r="BI1" s="31" t="s">
        <v>121</v>
      </c>
      <c r="BJ1" s="30" t="s">
        <v>140</v>
      </c>
      <c r="BK1" s="31" t="s">
        <v>142</v>
      </c>
      <c r="BL1" s="30" t="s">
        <v>204</v>
      </c>
      <c r="BM1" s="30" t="s">
        <v>143</v>
      </c>
      <c r="BN1" s="31" t="s">
        <v>144</v>
      </c>
      <c r="BO1" s="30" t="s">
        <v>145</v>
      </c>
      <c r="BP1" s="30" t="s">
        <v>153</v>
      </c>
      <c r="BQ1" s="30" t="s">
        <v>154</v>
      </c>
      <c r="BR1" s="30" t="s">
        <v>155</v>
      </c>
      <c r="BS1" s="30" t="s">
        <v>156</v>
      </c>
      <c r="BT1" s="30" t="s">
        <v>157</v>
      </c>
      <c r="BU1" s="30" t="s">
        <v>158</v>
      </c>
      <c r="BV1" s="30" t="s">
        <v>203</v>
      </c>
      <c r="BW1" s="30" t="s">
        <v>93</v>
      </c>
      <c r="BX1" s="32" t="s">
        <v>159</v>
      </c>
      <c r="BY1" s="32" t="s">
        <v>160</v>
      </c>
      <c r="BZ1" s="32" t="s">
        <v>202</v>
      </c>
      <c r="CA1" s="32" t="s">
        <v>201</v>
      </c>
      <c r="CB1" s="32" t="s">
        <v>200</v>
      </c>
      <c r="CC1" s="32" t="s">
        <v>199</v>
      </c>
      <c r="CD1" s="32" t="s">
        <v>198</v>
      </c>
      <c r="CE1" s="32" t="s">
        <v>197</v>
      </c>
      <c r="CF1" s="32" t="s">
        <v>127</v>
      </c>
      <c r="CG1" s="32" t="s">
        <v>127</v>
      </c>
      <c r="CH1" s="32" t="s">
        <v>149</v>
      </c>
      <c r="CI1" s="32" t="s">
        <v>196</v>
      </c>
      <c r="CJ1" s="32" t="s">
        <v>148</v>
      </c>
      <c r="CK1" s="32" t="s">
        <v>150</v>
      </c>
      <c r="CL1" s="32" t="s">
        <v>151</v>
      </c>
      <c r="CM1" s="32" t="s">
        <v>152</v>
      </c>
      <c r="CN1" s="29" t="s">
        <v>195</v>
      </c>
      <c r="CO1" s="42" t="s">
        <v>194</v>
      </c>
    </row>
    <row r="2" spans="1:93" ht="15" customHeight="1" x14ac:dyDescent="0.35">
      <c r="A2" s="29" t="s">
        <v>0</v>
      </c>
      <c r="B2" s="34" t="s">
        <v>1</v>
      </c>
      <c r="C2" s="34" t="s">
        <v>2</v>
      </c>
      <c r="D2" s="34" t="s">
        <v>3</v>
      </c>
      <c r="E2" s="34" t="s">
        <v>4</v>
      </c>
      <c r="F2" s="34" t="s">
        <v>5</v>
      </c>
      <c r="G2" s="35" t="s">
        <v>6</v>
      </c>
      <c r="H2" s="34" t="s">
        <v>7</v>
      </c>
      <c r="I2" s="34" t="s">
        <v>8</v>
      </c>
      <c r="J2" s="35" t="s">
        <v>9</v>
      </c>
      <c r="K2" s="35" t="s">
        <v>10</v>
      </c>
      <c r="L2" s="34" t="s">
        <v>11</v>
      </c>
      <c r="M2" s="34" t="s">
        <v>12</v>
      </c>
      <c r="N2" s="34" t="s">
        <v>13</v>
      </c>
      <c r="O2" s="34" t="s">
        <v>14</v>
      </c>
      <c r="P2" s="34" t="s">
        <v>15</v>
      </c>
      <c r="Q2" s="34" t="s">
        <v>16</v>
      </c>
      <c r="R2" s="34" t="s">
        <v>17</v>
      </c>
      <c r="S2" s="39" t="s">
        <v>18</v>
      </c>
      <c r="T2" s="34" t="s">
        <v>19</v>
      </c>
      <c r="U2" s="34" t="s">
        <v>20</v>
      </c>
      <c r="V2" s="35" t="s">
        <v>21</v>
      </c>
      <c r="W2" s="34" t="s">
        <v>22</v>
      </c>
      <c r="X2" s="34" t="s">
        <v>23</v>
      </c>
      <c r="Y2" s="35" t="s">
        <v>35</v>
      </c>
      <c r="Z2" s="35" t="s">
        <v>24</v>
      </c>
      <c r="AA2" s="35" t="s">
        <v>25</v>
      </c>
      <c r="AB2" s="35" t="s">
        <v>26</v>
      </c>
      <c r="AC2" s="35" t="s">
        <v>27</v>
      </c>
      <c r="AD2" s="35" t="s">
        <v>28</v>
      </c>
      <c r="AE2" s="35" t="s">
        <v>29</v>
      </c>
      <c r="AF2" s="35" t="s">
        <v>31</v>
      </c>
      <c r="AG2" s="35" t="s">
        <v>32</v>
      </c>
      <c r="AH2" s="34" t="s">
        <v>36</v>
      </c>
      <c r="AI2" s="34" t="s">
        <v>37</v>
      </c>
      <c r="AJ2" s="34" t="s">
        <v>38</v>
      </c>
      <c r="AK2" s="41" t="s">
        <v>193</v>
      </c>
      <c r="AL2" s="29" t="s">
        <v>192</v>
      </c>
      <c r="AM2" s="35" t="s">
        <v>41</v>
      </c>
      <c r="AN2" s="34" t="s">
        <v>39</v>
      </c>
      <c r="AO2" s="34" t="s">
        <v>40</v>
      </c>
      <c r="AP2" s="34" t="s">
        <v>42</v>
      </c>
      <c r="AQ2" s="34" t="s">
        <v>43</v>
      </c>
      <c r="AR2" s="34" t="s">
        <v>44</v>
      </c>
      <c r="AS2" s="34" t="s">
        <v>45</v>
      </c>
      <c r="AT2" s="34" t="s">
        <v>46</v>
      </c>
      <c r="AU2" s="35" t="s">
        <v>48</v>
      </c>
      <c r="AV2" s="35" t="s">
        <v>147</v>
      </c>
      <c r="AW2" s="35" t="s">
        <v>57</v>
      </c>
      <c r="AX2" s="34" t="s">
        <v>49</v>
      </c>
      <c r="AY2" s="34" t="s">
        <v>51</v>
      </c>
      <c r="AZ2" s="34" t="s">
        <v>52</v>
      </c>
      <c r="BA2" s="34" t="s">
        <v>53</v>
      </c>
      <c r="BB2" s="34" t="s">
        <v>54</v>
      </c>
      <c r="BC2" s="34" t="s">
        <v>55</v>
      </c>
      <c r="BD2" s="34" t="s">
        <v>56</v>
      </c>
      <c r="BE2" s="34" t="s">
        <v>58</v>
      </c>
      <c r="BF2" s="34" t="s">
        <v>60</v>
      </c>
      <c r="BG2" s="40" t="s">
        <v>59</v>
      </c>
      <c r="BH2" s="40" t="s">
        <v>64</v>
      </c>
      <c r="BI2" s="35" t="s">
        <v>61</v>
      </c>
      <c r="BJ2" s="34" t="s">
        <v>62</v>
      </c>
      <c r="BK2" s="35" t="s">
        <v>66</v>
      </c>
      <c r="BL2" s="34" t="s">
        <v>84</v>
      </c>
      <c r="BM2" s="34" t="s">
        <v>67</v>
      </c>
      <c r="BN2" s="35" t="s">
        <v>68</v>
      </c>
      <c r="BO2" s="34" t="s">
        <v>69</v>
      </c>
      <c r="BP2" s="34" t="s">
        <v>77</v>
      </c>
      <c r="BQ2" s="34" t="s">
        <v>78</v>
      </c>
      <c r="BR2" s="34" t="s">
        <v>79</v>
      </c>
      <c r="BS2" s="34" t="s">
        <v>80</v>
      </c>
      <c r="BT2" s="34" t="s">
        <v>81</v>
      </c>
      <c r="BU2" s="34" t="s">
        <v>83</v>
      </c>
      <c r="BV2" s="34" t="s">
        <v>82</v>
      </c>
      <c r="BW2" s="34" t="s">
        <v>86</v>
      </c>
      <c r="BX2" s="36" t="s">
        <v>87</v>
      </c>
      <c r="BY2" s="36" t="s">
        <v>88</v>
      </c>
      <c r="BZ2" s="36" t="s">
        <v>85</v>
      </c>
      <c r="CA2" s="36" t="s">
        <v>33</v>
      </c>
      <c r="CB2" s="36" t="s">
        <v>34</v>
      </c>
      <c r="CC2" s="36" t="s">
        <v>63</v>
      </c>
      <c r="CD2" s="36" t="s">
        <v>65</v>
      </c>
      <c r="CE2" s="36" t="s">
        <v>70</v>
      </c>
      <c r="CF2" s="36" t="s">
        <v>47</v>
      </c>
      <c r="CG2" s="36" t="s">
        <v>50</v>
      </c>
      <c r="CH2" s="36" t="s">
        <v>72</v>
      </c>
      <c r="CI2" s="36" t="s">
        <v>73</v>
      </c>
      <c r="CJ2" s="36" t="s">
        <v>71</v>
      </c>
      <c r="CK2" s="36" t="s">
        <v>74</v>
      </c>
      <c r="CL2" s="36" t="s">
        <v>75</v>
      </c>
      <c r="CM2" s="36" t="s">
        <v>76</v>
      </c>
      <c r="CN2" s="29" t="s">
        <v>30</v>
      </c>
      <c r="CO2" s="42" t="s">
        <v>191</v>
      </c>
    </row>
    <row r="3" spans="1:93" x14ac:dyDescent="0.35">
      <c r="A3" s="106" t="s">
        <v>557</v>
      </c>
      <c r="B3" s="106" t="s">
        <v>293</v>
      </c>
      <c r="C3" s="106" t="s">
        <v>293</v>
      </c>
      <c r="D3" s="106" t="s">
        <v>294</v>
      </c>
      <c r="E3" s="106" t="s">
        <v>295</v>
      </c>
      <c r="F3" s="106" t="s">
        <v>296</v>
      </c>
      <c r="G3" s="107" t="s">
        <v>395</v>
      </c>
      <c r="H3" s="106"/>
      <c r="I3" s="106" t="s">
        <v>297</v>
      </c>
      <c r="J3" s="108" t="s">
        <v>439</v>
      </c>
      <c r="K3" s="106">
        <v>1609</v>
      </c>
      <c r="L3" s="106" t="s">
        <v>328</v>
      </c>
      <c r="M3" s="106" t="s">
        <v>329</v>
      </c>
      <c r="N3" s="106" t="s">
        <v>328</v>
      </c>
      <c r="O3" s="106" t="s">
        <v>330</v>
      </c>
      <c r="P3" s="106" t="s">
        <v>331</v>
      </c>
      <c r="Q3" s="106" t="s">
        <v>298</v>
      </c>
      <c r="R3" s="106" t="s">
        <v>299</v>
      </c>
      <c r="S3" s="109" t="s">
        <v>189</v>
      </c>
      <c r="T3" s="106" t="s">
        <v>293</v>
      </c>
      <c r="U3" s="106" t="s">
        <v>300</v>
      </c>
      <c r="V3" s="106" t="s">
        <v>415</v>
      </c>
      <c r="W3" s="106" t="s">
        <v>301</v>
      </c>
      <c r="X3" s="106" t="s">
        <v>302</v>
      </c>
      <c r="Y3" s="106" t="s">
        <v>332</v>
      </c>
      <c r="Z3" s="106" t="s">
        <v>303</v>
      </c>
      <c r="AA3" s="106" t="s">
        <v>304</v>
      </c>
      <c r="AB3" s="106" t="s">
        <v>305</v>
      </c>
      <c r="AC3" s="106" t="s">
        <v>305</v>
      </c>
      <c r="AD3" s="106" t="s">
        <v>306</v>
      </c>
      <c r="AE3" s="106" t="s">
        <v>307</v>
      </c>
      <c r="AF3" s="106" t="s">
        <v>292</v>
      </c>
      <c r="AG3" s="106" t="s">
        <v>333</v>
      </c>
      <c r="AH3" s="106" t="s">
        <v>308</v>
      </c>
      <c r="AI3" s="106" t="s">
        <v>309</v>
      </c>
      <c r="AJ3" s="106" t="s">
        <v>308</v>
      </c>
      <c r="AK3" s="106" t="s">
        <v>290</v>
      </c>
      <c r="AL3" s="106" t="s">
        <v>291</v>
      </c>
      <c r="AM3" s="106" t="s">
        <v>310</v>
      </c>
      <c r="AN3" s="106" t="s">
        <v>311</v>
      </c>
      <c r="AO3" s="106" t="s">
        <v>312</v>
      </c>
      <c r="AP3" s="106" t="s">
        <v>313</v>
      </c>
      <c r="AQ3" s="106" t="s">
        <v>314</v>
      </c>
      <c r="AR3" s="106" t="s">
        <v>315</v>
      </c>
      <c r="AS3" s="106" t="s">
        <v>316</v>
      </c>
      <c r="AT3" s="106" t="s">
        <v>334</v>
      </c>
      <c r="AU3" s="106" t="s">
        <v>335</v>
      </c>
      <c r="AV3" s="106" t="s">
        <v>335</v>
      </c>
      <c r="AW3" s="106" t="s">
        <v>335</v>
      </c>
      <c r="AX3" s="106" t="s">
        <v>317</v>
      </c>
      <c r="AY3" s="106" t="s">
        <v>318</v>
      </c>
      <c r="AZ3" s="106" t="s">
        <v>319</v>
      </c>
      <c r="BA3" s="106" t="s">
        <v>304</v>
      </c>
      <c r="BB3" s="106" t="s">
        <v>320</v>
      </c>
      <c r="BC3" s="106" t="s">
        <v>302</v>
      </c>
      <c r="BD3" s="106" t="s">
        <v>303</v>
      </c>
      <c r="BE3" s="106" t="s">
        <v>321</v>
      </c>
      <c r="BF3" s="106" t="s">
        <v>296</v>
      </c>
      <c r="BG3" s="106" t="s">
        <v>296</v>
      </c>
      <c r="BH3" s="106" t="s">
        <v>315</v>
      </c>
      <c r="BI3" s="106" t="s">
        <v>310</v>
      </c>
      <c r="BJ3" s="106" t="s">
        <v>322</v>
      </c>
      <c r="BK3" s="106" t="s">
        <v>323</v>
      </c>
      <c r="BL3" s="106" t="s">
        <v>302</v>
      </c>
      <c r="BM3" s="106" t="s">
        <v>336</v>
      </c>
      <c r="BN3" s="106" t="s">
        <v>324</v>
      </c>
      <c r="BO3" s="106" t="s">
        <v>325</v>
      </c>
      <c r="BP3" s="106" t="s">
        <v>314</v>
      </c>
      <c r="BQ3" s="106" t="s">
        <v>218</v>
      </c>
      <c r="BR3" s="106" t="s">
        <v>314</v>
      </c>
      <c r="BS3" s="106" t="s">
        <v>337</v>
      </c>
      <c r="BT3" s="106" t="s">
        <v>338</v>
      </c>
      <c r="BU3" s="106" t="s">
        <v>339</v>
      </c>
      <c r="BV3" s="106" t="s">
        <v>302</v>
      </c>
      <c r="BW3" s="106" t="s">
        <v>296</v>
      </c>
      <c r="BX3" s="106" t="s">
        <v>326</v>
      </c>
      <c r="BY3" s="106" t="s">
        <v>304</v>
      </c>
      <c r="BZ3" s="106" t="s">
        <v>302</v>
      </c>
      <c r="CA3" s="106" t="s">
        <v>302</v>
      </c>
      <c r="CB3" s="106" t="s">
        <v>302</v>
      </c>
      <c r="CC3" s="106" t="s">
        <v>302</v>
      </c>
      <c r="CD3" s="106" t="s">
        <v>302</v>
      </c>
      <c r="CE3" s="106" t="s">
        <v>302</v>
      </c>
      <c r="CF3" s="106" t="s">
        <v>302</v>
      </c>
      <c r="CG3" s="106" t="s">
        <v>302</v>
      </c>
      <c r="CH3" s="106" t="s">
        <v>302</v>
      </c>
      <c r="CI3" s="106" t="s">
        <v>302</v>
      </c>
      <c r="CJ3" s="106" t="s">
        <v>302</v>
      </c>
      <c r="CK3" s="106" t="s">
        <v>302</v>
      </c>
      <c r="CL3" s="106" t="s">
        <v>302</v>
      </c>
      <c r="CM3" s="106" t="s">
        <v>302</v>
      </c>
      <c r="CN3" s="110"/>
      <c r="CO3" s="106" t="s">
        <v>327</v>
      </c>
    </row>
    <row r="4" spans="1:93" customFormat="1" x14ac:dyDescent="0.35"/>
    <row r="5" spans="1:93" customFormat="1" x14ac:dyDescent="0.35"/>
    <row r="6" spans="1:93" customFormat="1" x14ac:dyDescent="0.35"/>
    <row r="7" spans="1:93" customFormat="1" x14ac:dyDescent="0.35"/>
    <row r="8" spans="1:93" customFormat="1" x14ac:dyDescent="0.35"/>
    <row r="9" spans="1:93" customFormat="1" x14ac:dyDescent="0.35"/>
    <row r="10" spans="1:93" customFormat="1" x14ac:dyDescent="0.35"/>
    <row r="11" spans="1:93" customFormat="1" x14ac:dyDescent="0.35"/>
    <row r="12" spans="1:93" customFormat="1" x14ac:dyDescent="0.35"/>
    <row r="13" spans="1:93" customFormat="1" x14ac:dyDescent="0.35"/>
    <row r="14" spans="1:93" customFormat="1" x14ac:dyDescent="0.35"/>
    <row r="15" spans="1:93" customFormat="1" x14ac:dyDescent="0.35"/>
    <row r="16" spans="1:93" customFormat="1" x14ac:dyDescent="0.35"/>
    <row r="17" customFormat="1" x14ac:dyDescent="0.35"/>
    <row r="18" customFormat="1" x14ac:dyDescent="0.35"/>
    <row r="19" customFormat="1" x14ac:dyDescent="0.35"/>
    <row r="20" customFormat="1" x14ac:dyDescent="0.35"/>
    <row r="21" customFormat="1" x14ac:dyDescent="0.35"/>
    <row r="22" customFormat="1" x14ac:dyDescent="0.35"/>
  </sheetData>
  <autoFilter ref="A2:CO2" xr:uid="{1814C4DF-E04E-49B8-8DEE-DF0AD8717B3B}"/>
  <phoneticPr fontId="37"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9589B-9FE4-43D4-888D-1100A4CD2995}">
  <sheetPr>
    <tabColor theme="4" tint="0.59999389629810485"/>
  </sheetPr>
  <dimension ref="A1:E29"/>
  <sheetViews>
    <sheetView tabSelected="1" zoomScale="90" zoomScaleNormal="90" workbookViewId="0">
      <selection sqref="A1:E1"/>
    </sheetView>
  </sheetViews>
  <sheetFormatPr defaultColWidth="15.90625" defaultRowHeight="14.5" x14ac:dyDescent="0.35"/>
  <cols>
    <col min="1" max="1" width="31.453125" customWidth="1"/>
  </cols>
  <sheetData>
    <row r="1" spans="1:5" ht="29" x14ac:dyDescent="0.35">
      <c r="A1" s="144" t="s">
        <v>562</v>
      </c>
      <c r="B1" s="144" t="s">
        <v>560</v>
      </c>
      <c r="C1" s="144" t="s">
        <v>561</v>
      </c>
      <c r="D1" s="144" t="s">
        <v>561</v>
      </c>
      <c r="E1" s="144" t="s">
        <v>561</v>
      </c>
    </row>
    <row r="2" spans="1:5" x14ac:dyDescent="0.35">
      <c r="A2" s="143" t="s">
        <v>559</v>
      </c>
      <c r="B2">
        <v>321</v>
      </c>
      <c r="C2" t="str">
        <f>UPPER(TRIM(A2))</f>
        <v>POPS BAR</v>
      </c>
      <c r="D2" t="str">
        <f>TEXT(B2,"0000")</f>
        <v>0321</v>
      </c>
      <c r="E2" t="str">
        <f>CONCATENATE(C2," ","#",D2)</f>
        <v>POPS BAR #0321</v>
      </c>
    </row>
    <row r="3" spans="1:5" x14ac:dyDescent="0.35">
      <c r="A3" s="141" t="s">
        <v>393</v>
      </c>
      <c r="B3">
        <v>323</v>
      </c>
      <c r="C3" t="str">
        <f t="shared" ref="C3:C21" si="0">UPPER(TRIM(A3))</f>
        <v>POPS</v>
      </c>
      <c r="D3" t="str">
        <f t="shared" ref="D3:D21" si="1">TEXT(B3,"0000")</f>
        <v>0323</v>
      </c>
      <c r="E3" t="str">
        <f>CONCATENATE(C3," ","#",D3)</f>
        <v>POPS #0323</v>
      </c>
    </row>
    <row r="4" spans="1:5" x14ac:dyDescent="0.35">
      <c r="A4" s="141" t="s">
        <v>393</v>
      </c>
      <c r="B4">
        <v>322</v>
      </c>
      <c r="C4" t="str">
        <f t="shared" si="0"/>
        <v>POPS</v>
      </c>
      <c r="D4" t="str">
        <f t="shared" si="1"/>
        <v>0322</v>
      </c>
      <c r="E4" t="str">
        <f>CONCATENATE(C4," ","#",D4)</f>
        <v>POPS #0322</v>
      </c>
    </row>
    <row r="5" spans="1:5" x14ac:dyDescent="0.35">
      <c r="A5" s="141" t="s">
        <v>393</v>
      </c>
      <c r="B5">
        <v>308</v>
      </c>
      <c r="C5" t="str">
        <f t="shared" si="0"/>
        <v>POPS</v>
      </c>
      <c r="D5" t="str">
        <f t="shared" si="1"/>
        <v>0308</v>
      </c>
      <c r="E5" t="str">
        <f>CONCATENATE(C5," ","#",D5)</f>
        <v>POPS #0308</v>
      </c>
    </row>
    <row r="6" spans="1:5" x14ac:dyDescent="0.35">
      <c r="A6" s="1" t="s">
        <v>393</v>
      </c>
      <c r="B6">
        <v>801</v>
      </c>
      <c r="C6" t="str">
        <f t="shared" si="0"/>
        <v>POPS</v>
      </c>
      <c r="D6" t="str">
        <f t="shared" si="1"/>
        <v>0801</v>
      </c>
      <c r="E6" t="str">
        <f>CONCATENATE(C6," ","#",D6)</f>
        <v>POPS #0801</v>
      </c>
    </row>
    <row r="7" spans="1:5" x14ac:dyDescent="0.35">
      <c r="A7" s="1" t="s">
        <v>394</v>
      </c>
      <c r="B7">
        <v>806</v>
      </c>
      <c r="C7" t="str">
        <f t="shared" si="0"/>
        <v>POP`S</v>
      </c>
      <c r="D7" t="str">
        <f t="shared" si="1"/>
        <v>0806</v>
      </c>
      <c r="E7" t="str">
        <f>CONCATENATE(C7," ","#",D7)</f>
        <v>POP`S #0806</v>
      </c>
    </row>
    <row r="8" spans="1:5" x14ac:dyDescent="0.35">
      <c r="A8" s="1" t="s">
        <v>394</v>
      </c>
      <c r="B8">
        <v>804</v>
      </c>
      <c r="C8" t="str">
        <f t="shared" si="0"/>
        <v>POP`S</v>
      </c>
      <c r="D8" t="str">
        <f t="shared" si="1"/>
        <v>0804</v>
      </c>
      <c r="E8" t="str">
        <f>CONCATENATE(C8," ","#",D8)</f>
        <v>POP`S #0804</v>
      </c>
    </row>
    <row r="9" spans="1:5" x14ac:dyDescent="0.35">
      <c r="A9" s="1" t="s">
        <v>394</v>
      </c>
      <c r="B9">
        <v>805</v>
      </c>
      <c r="C9" t="str">
        <f t="shared" si="0"/>
        <v>POP`S</v>
      </c>
      <c r="D9" t="str">
        <f t="shared" si="1"/>
        <v>0805</v>
      </c>
      <c r="E9" t="str">
        <f>CONCATENATE(C9," ","#",D9)</f>
        <v>POP`S #0805</v>
      </c>
    </row>
    <row r="10" spans="1:5" x14ac:dyDescent="0.35">
      <c r="A10" s="1" t="s">
        <v>394</v>
      </c>
      <c r="B10">
        <v>803</v>
      </c>
      <c r="C10" t="str">
        <f t="shared" si="0"/>
        <v>POP`S</v>
      </c>
      <c r="D10" t="str">
        <f t="shared" si="1"/>
        <v>0803</v>
      </c>
      <c r="E10" t="str">
        <f>CONCATENATE(C10," ","#",D10)</f>
        <v>POP`S #0803</v>
      </c>
    </row>
    <row r="11" spans="1:5" x14ac:dyDescent="0.35">
      <c r="A11" s="1" t="s">
        <v>394</v>
      </c>
      <c r="B11">
        <v>802</v>
      </c>
      <c r="C11" t="str">
        <f t="shared" si="0"/>
        <v>POP`S</v>
      </c>
      <c r="D11" t="str">
        <f t="shared" si="1"/>
        <v>0802</v>
      </c>
      <c r="E11" t="str">
        <f>CONCATENATE(C11," ","#",D11)</f>
        <v>POP`S #0802</v>
      </c>
    </row>
    <row r="12" spans="1:5" x14ac:dyDescent="0.35">
      <c r="A12" s="60" t="s">
        <v>393</v>
      </c>
      <c r="B12">
        <v>317</v>
      </c>
      <c r="C12" t="str">
        <f t="shared" si="0"/>
        <v>POPS</v>
      </c>
      <c r="D12" t="str">
        <f t="shared" si="1"/>
        <v>0317</v>
      </c>
      <c r="E12" t="str">
        <f>CONCATENATE(C12," ","#",D12)</f>
        <v>POPS #0317</v>
      </c>
    </row>
    <row r="13" spans="1:5" x14ac:dyDescent="0.35">
      <c r="A13" s="60" t="s">
        <v>393</v>
      </c>
      <c r="B13">
        <v>318</v>
      </c>
      <c r="C13" t="str">
        <f t="shared" si="0"/>
        <v>POPS</v>
      </c>
      <c r="D13" t="str">
        <f t="shared" si="1"/>
        <v>0318</v>
      </c>
      <c r="E13" t="str">
        <f>CONCATENATE(C13," ","#",D13)</f>
        <v>POPS #0318</v>
      </c>
    </row>
    <row r="14" spans="1:5" x14ac:dyDescent="0.35">
      <c r="A14" s="60" t="s">
        <v>393</v>
      </c>
      <c r="B14">
        <v>324</v>
      </c>
      <c r="C14" t="str">
        <f t="shared" si="0"/>
        <v>POPS</v>
      </c>
      <c r="D14" t="str">
        <f t="shared" si="1"/>
        <v>0324</v>
      </c>
      <c r="E14" t="str">
        <f>CONCATENATE(C14," ","#",D14)</f>
        <v>POPS #0324</v>
      </c>
    </row>
    <row r="15" spans="1:5" x14ac:dyDescent="0.35">
      <c r="A15" s="60" t="s">
        <v>393</v>
      </c>
      <c r="B15">
        <v>302</v>
      </c>
      <c r="C15" t="str">
        <f t="shared" si="0"/>
        <v>POPS</v>
      </c>
      <c r="D15" t="str">
        <f t="shared" si="1"/>
        <v>0302</v>
      </c>
      <c r="E15" t="str">
        <f>CONCATENATE(C15," ","#",D15)</f>
        <v>POPS #0302</v>
      </c>
    </row>
    <row r="16" spans="1:5" x14ac:dyDescent="0.35">
      <c r="A16" s="60" t="s">
        <v>393</v>
      </c>
      <c r="B16">
        <v>311</v>
      </c>
      <c r="C16" t="str">
        <f t="shared" si="0"/>
        <v>POPS</v>
      </c>
      <c r="D16" t="str">
        <f t="shared" si="1"/>
        <v>0311</v>
      </c>
      <c r="E16" t="str">
        <f>CONCATENATE(C16," ","#",D16)</f>
        <v>POPS #0311</v>
      </c>
    </row>
    <row r="17" spans="1:5" x14ac:dyDescent="0.35">
      <c r="A17" s="60" t="s">
        <v>393</v>
      </c>
      <c r="B17">
        <v>305</v>
      </c>
      <c r="C17" t="str">
        <f t="shared" si="0"/>
        <v>POPS</v>
      </c>
      <c r="D17" t="str">
        <f t="shared" si="1"/>
        <v>0305</v>
      </c>
      <c r="E17" t="str">
        <f>CONCATENATE(C17," ","#",D17)</f>
        <v>POPS #0305</v>
      </c>
    </row>
    <row r="18" spans="1:5" x14ac:dyDescent="0.35">
      <c r="A18" s="60" t="s">
        <v>393</v>
      </c>
      <c r="B18">
        <v>309</v>
      </c>
      <c r="C18" t="str">
        <f t="shared" si="0"/>
        <v>POPS</v>
      </c>
      <c r="D18" t="str">
        <f t="shared" si="1"/>
        <v>0309</v>
      </c>
      <c r="E18" t="str">
        <f>CONCATENATE(C18," ","#",D18)</f>
        <v>POPS #0309</v>
      </c>
    </row>
    <row r="19" spans="1:5" x14ac:dyDescent="0.35">
      <c r="A19" s="141" t="s">
        <v>393</v>
      </c>
      <c r="B19">
        <v>310</v>
      </c>
      <c r="C19" t="str">
        <f t="shared" si="0"/>
        <v>POPS</v>
      </c>
      <c r="D19" t="str">
        <f t="shared" si="1"/>
        <v>0310</v>
      </c>
      <c r="E19" t="str">
        <f>CONCATENATE(C19," ","#",D19)</f>
        <v>POPS #0310</v>
      </c>
    </row>
    <row r="20" spans="1:5" x14ac:dyDescent="0.35">
      <c r="A20" s="60" t="s">
        <v>393</v>
      </c>
      <c r="B20">
        <v>315</v>
      </c>
      <c r="C20" t="str">
        <f t="shared" si="0"/>
        <v>POPS</v>
      </c>
      <c r="D20" t="str">
        <f t="shared" si="1"/>
        <v>0315</v>
      </c>
      <c r="E20" t="str">
        <f>CONCATENATE(C20," ","#",D20)</f>
        <v>POPS #0315</v>
      </c>
    </row>
    <row r="21" spans="1:5" x14ac:dyDescent="0.35">
      <c r="A21" s="60" t="s">
        <v>393</v>
      </c>
      <c r="B21">
        <v>319</v>
      </c>
      <c r="C21" t="str">
        <f t="shared" si="0"/>
        <v>POPS</v>
      </c>
      <c r="D21" t="str">
        <f t="shared" si="1"/>
        <v>0319</v>
      </c>
      <c r="E21" t="str">
        <f>CONCATENATE(C21," ","#",D21)</f>
        <v>POPS #0319</v>
      </c>
    </row>
    <row r="22" spans="1:5" x14ac:dyDescent="0.35">
      <c r="A22" s="9"/>
    </row>
    <row r="23" spans="1:5" x14ac:dyDescent="0.35">
      <c r="A23" s="9"/>
    </row>
    <row r="24" spans="1:5" x14ac:dyDescent="0.35">
      <c r="A24" s="9"/>
    </row>
    <row r="25" spans="1:5" x14ac:dyDescent="0.35">
      <c r="A25" s="9"/>
    </row>
    <row r="26" spans="1:5" x14ac:dyDescent="0.35">
      <c r="A26" s="9"/>
    </row>
    <row r="27" spans="1:5" x14ac:dyDescent="0.35">
      <c r="A27" s="9"/>
    </row>
    <row r="28" spans="1:5" x14ac:dyDescent="0.35">
      <c r="A28" s="9"/>
    </row>
    <row r="29" spans="1:5" x14ac:dyDescent="0.35">
      <c r="A29" s="9"/>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01164-F05F-4464-9487-E83F23015EAC}">
  <sheetPr>
    <tabColor theme="4" tint="0.39997558519241921"/>
  </sheetPr>
  <dimension ref="A1:L21"/>
  <sheetViews>
    <sheetView zoomScale="80" zoomScaleNormal="80" workbookViewId="0">
      <selection sqref="A1:L1"/>
    </sheetView>
  </sheetViews>
  <sheetFormatPr defaultRowHeight="14.5" x14ac:dyDescent="0.35"/>
  <cols>
    <col min="1" max="1" width="8.26953125" customWidth="1"/>
    <col min="2" max="2" width="8.453125" bestFit="1" customWidth="1"/>
    <col min="3" max="3" width="17" bestFit="1" customWidth="1"/>
    <col min="4" max="4" width="14.36328125" bestFit="1" customWidth="1"/>
    <col min="5" max="5" width="9.54296875" bestFit="1" customWidth="1"/>
    <col min="10" max="10" width="25.90625" bestFit="1" customWidth="1"/>
  </cols>
  <sheetData>
    <row r="1" spans="1:12" x14ac:dyDescent="0.35">
      <c r="A1" s="142" t="s">
        <v>221</v>
      </c>
      <c r="B1" s="142"/>
      <c r="C1" s="142"/>
      <c r="D1" s="142"/>
      <c r="E1" s="142"/>
      <c r="F1" s="142"/>
      <c r="G1" s="142"/>
      <c r="H1" s="142"/>
      <c r="I1" s="142"/>
      <c r="J1" s="142" t="s">
        <v>220</v>
      </c>
      <c r="K1" s="142" t="s">
        <v>558</v>
      </c>
      <c r="L1" s="142"/>
    </row>
    <row r="2" spans="1:12" x14ac:dyDescent="0.35">
      <c r="A2" s="7">
        <v>1609</v>
      </c>
      <c r="B2" t="s">
        <v>416</v>
      </c>
      <c r="C2" t="s">
        <v>217</v>
      </c>
      <c r="D2" t="s">
        <v>215</v>
      </c>
      <c r="G2" t="s">
        <v>162</v>
      </c>
      <c r="J2" t="str">
        <f t="shared" ref="J2:J12" si="0">CONCATENATE(B2, " ",C2," ",D2," ",E2," ",F2," ",G2," ",H2," ",I2)</f>
        <v xml:space="preserve">ELM ST W      </v>
      </c>
      <c r="K2" t="str">
        <f>CONCATENATE(A2," ",B2," ",C2," ",D2," ",E2," ",F2," ",G2," ",H2," ",I2)</f>
        <v xml:space="preserve">1609 ELM ST W      </v>
      </c>
    </row>
    <row r="3" spans="1:12" x14ac:dyDescent="0.35">
      <c r="A3" s="7">
        <v>3474</v>
      </c>
      <c r="B3" t="s">
        <v>417</v>
      </c>
      <c r="C3" t="s">
        <v>418</v>
      </c>
      <c r="D3" t="s">
        <v>419</v>
      </c>
      <c r="J3" t="str">
        <f t="shared" si="0"/>
        <v xml:space="preserve">POINT SOUTH DR     </v>
      </c>
      <c r="K3" t="str">
        <f t="shared" ref="K3:K12" si="1">CONCATENATE(A3," ",B3," ",C3," ",D3," ",E3," ",F3," ",G3," ",H3," ",I3)</f>
        <v xml:space="preserve">3474 POINT SOUTH DR     </v>
      </c>
    </row>
    <row r="4" spans="1:12" x14ac:dyDescent="0.35">
      <c r="A4" s="7">
        <v>136</v>
      </c>
      <c r="B4" t="s">
        <v>420</v>
      </c>
      <c r="C4" t="s">
        <v>421</v>
      </c>
      <c r="D4" t="s">
        <v>422</v>
      </c>
      <c r="J4" t="str">
        <f t="shared" si="0"/>
        <v xml:space="preserve">RAILROAD AVE N     </v>
      </c>
      <c r="K4" t="str">
        <f t="shared" si="1"/>
        <v xml:space="preserve">136 RAILROAD AVE N     </v>
      </c>
    </row>
    <row r="5" spans="1:12" x14ac:dyDescent="0.35">
      <c r="A5" s="7">
        <v>6131</v>
      </c>
      <c r="B5" t="s">
        <v>215</v>
      </c>
      <c r="C5" t="s">
        <v>423</v>
      </c>
      <c r="D5" t="s">
        <v>424</v>
      </c>
      <c r="E5" t="s">
        <v>425</v>
      </c>
      <c r="J5" t="str">
        <f t="shared" si="0"/>
        <v xml:space="preserve">W JIM BILTON BLVD    </v>
      </c>
      <c r="K5" t="str">
        <f t="shared" si="1"/>
        <v xml:space="preserve">6131 W JIM BILTON BLVD    </v>
      </c>
    </row>
    <row r="6" spans="1:12" x14ac:dyDescent="0.35">
      <c r="A6" s="7">
        <v>1101</v>
      </c>
      <c r="B6" t="s">
        <v>215</v>
      </c>
      <c r="C6" t="s">
        <v>426</v>
      </c>
      <c r="D6" t="s">
        <v>427</v>
      </c>
      <c r="E6" t="s">
        <v>188</v>
      </c>
      <c r="J6" t="str">
        <f t="shared" si="0"/>
        <v xml:space="preserve">W NEW BERN RD    </v>
      </c>
      <c r="K6" t="str">
        <f t="shared" si="1"/>
        <v xml:space="preserve">1101 W NEW BERN RD    </v>
      </c>
    </row>
    <row r="7" spans="1:12" x14ac:dyDescent="0.35">
      <c r="A7" s="7">
        <v>4290</v>
      </c>
      <c r="B7" t="s">
        <v>296</v>
      </c>
      <c r="C7" t="s">
        <v>428</v>
      </c>
      <c r="D7">
        <v>17</v>
      </c>
      <c r="E7" t="s">
        <v>422</v>
      </c>
      <c r="J7" t="str">
        <f t="shared" si="0"/>
        <v xml:space="preserve">US HIGHWAY 17 N    </v>
      </c>
      <c r="K7" t="str">
        <f t="shared" si="1"/>
        <v xml:space="preserve">4290 US HIGHWAY 17 N    </v>
      </c>
    </row>
    <row r="8" spans="1:12" x14ac:dyDescent="0.35">
      <c r="A8" s="7">
        <v>6041</v>
      </c>
      <c r="B8" t="s">
        <v>216</v>
      </c>
      <c r="C8">
        <v>70</v>
      </c>
      <c r="J8" t="str">
        <f t="shared" si="0"/>
        <v xml:space="preserve">HWY 70      </v>
      </c>
      <c r="K8" t="str">
        <f t="shared" si="1"/>
        <v xml:space="preserve">6041 HWY 70      </v>
      </c>
    </row>
    <row r="9" spans="1:12" x14ac:dyDescent="0.35">
      <c r="A9" s="7">
        <v>1502</v>
      </c>
      <c r="B9" t="s">
        <v>429</v>
      </c>
      <c r="C9" t="s">
        <v>216</v>
      </c>
      <c r="J9" t="str">
        <f t="shared" si="0"/>
        <v xml:space="preserve">GREENVILLE HWY      </v>
      </c>
      <c r="K9" t="str">
        <f t="shared" si="1"/>
        <v xml:space="preserve">1502 GREENVILLE HWY      </v>
      </c>
    </row>
    <row r="10" spans="1:12" x14ac:dyDescent="0.35">
      <c r="A10" s="7">
        <v>6130</v>
      </c>
      <c r="B10" t="s">
        <v>296</v>
      </c>
      <c r="C10" t="s">
        <v>428</v>
      </c>
      <c r="D10">
        <v>70</v>
      </c>
      <c r="E10" t="s">
        <v>215</v>
      </c>
      <c r="J10" t="str">
        <f t="shared" si="0"/>
        <v xml:space="preserve">US HIGHWAY 70 W    </v>
      </c>
      <c r="K10" t="str">
        <f t="shared" si="1"/>
        <v xml:space="preserve">6130 US HIGHWAY 70 W    </v>
      </c>
    </row>
    <row r="11" spans="1:12" x14ac:dyDescent="0.35">
      <c r="A11" s="7">
        <v>1509</v>
      </c>
      <c r="B11" t="s">
        <v>218</v>
      </c>
      <c r="C11" t="s">
        <v>430</v>
      </c>
      <c r="D11" t="s">
        <v>188</v>
      </c>
      <c r="J11" t="str">
        <f t="shared" si="0"/>
        <v xml:space="preserve">S GLENBURNIE RD     </v>
      </c>
      <c r="K11" t="str">
        <f t="shared" si="1"/>
        <v xml:space="preserve">1509 S GLENBURNIE RD     </v>
      </c>
    </row>
    <row r="12" spans="1:12" x14ac:dyDescent="0.35">
      <c r="A12" s="7">
        <v>1000</v>
      </c>
      <c r="B12" t="s">
        <v>431</v>
      </c>
      <c r="C12" t="s">
        <v>217</v>
      </c>
      <c r="J12" t="str">
        <f t="shared" si="0"/>
        <v xml:space="preserve">JACKSON ST      </v>
      </c>
      <c r="K12" t="str">
        <f t="shared" si="1"/>
        <v xml:space="preserve">1000 JACKSON ST      </v>
      </c>
    </row>
    <row r="13" spans="1:12" x14ac:dyDescent="0.35">
      <c r="A13" s="7">
        <v>418</v>
      </c>
      <c r="B13" t="s">
        <v>432</v>
      </c>
      <c r="C13" t="s">
        <v>433</v>
      </c>
      <c r="D13" t="s">
        <v>188</v>
      </c>
      <c r="J13" t="str">
        <f t="shared" ref="J13:J21" si="2">CONCATENATE(B13, " ",C13," ",D13," ",E13," ",F13," ",G13," ",H13," ",I13)</f>
        <v xml:space="preserve">PINEY GROVE RD     </v>
      </c>
      <c r="K13" t="str">
        <f t="shared" ref="K13:K21" si="3">CONCATENATE(A13," ",B13," ",C13," ",D13," ",E13," ",F13," ",G13," ",H13," ",I13)</f>
        <v xml:space="preserve">418 PINEY GROVE RD     </v>
      </c>
    </row>
    <row r="14" spans="1:12" x14ac:dyDescent="0.35">
      <c r="A14" s="7">
        <v>2721</v>
      </c>
      <c r="B14" t="s">
        <v>434</v>
      </c>
      <c r="C14" t="s">
        <v>188</v>
      </c>
      <c r="J14" t="str">
        <f t="shared" si="2"/>
        <v xml:space="preserve">WESSINGER RD      </v>
      </c>
      <c r="K14" t="str">
        <f t="shared" si="3"/>
        <v xml:space="preserve">2721 WESSINGER RD      </v>
      </c>
    </row>
    <row r="15" spans="1:12" x14ac:dyDescent="0.35">
      <c r="A15" s="7">
        <v>18076</v>
      </c>
      <c r="B15" t="s">
        <v>435</v>
      </c>
      <c r="C15" t="s">
        <v>216</v>
      </c>
      <c r="J15" t="str">
        <f t="shared" si="2"/>
        <v xml:space="preserve">HERITAGE HWY      </v>
      </c>
      <c r="K15" t="str">
        <f t="shared" si="3"/>
        <v xml:space="preserve">18076 HERITAGE HWY      </v>
      </c>
    </row>
    <row r="16" spans="1:12" x14ac:dyDescent="0.35">
      <c r="A16" s="7">
        <v>11393</v>
      </c>
      <c r="B16" t="s">
        <v>436</v>
      </c>
      <c r="C16" t="s">
        <v>425</v>
      </c>
      <c r="J16" t="str">
        <f t="shared" si="2"/>
        <v xml:space="preserve">DUNBARTON BLVD      </v>
      </c>
      <c r="K16" t="str">
        <f t="shared" si="3"/>
        <v xml:space="preserve">11393 DUNBARTON BLVD      </v>
      </c>
    </row>
    <row r="17" spans="1:11" x14ac:dyDescent="0.35">
      <c r="A17" s="7">
        <v>519</v>
      </c>
      <c r="B17" t="s">
        <v>219</v>
      </c>
      <c r="C17" t="s">
        <v>217</v>
      </c>
      <c r="D17" t="s">
        <v>422</v>
      </c>
      <c r="J17" t="str">
        <f t="shared" si="2"/>
        <v xml:space="preserve">MAIN ST N     </v>
      </c>
      <c r="K17" t="str">
        <f t="shared" si="3"/>
        <v xml:space="preserve">519 MAIN ST N     </v>
      </c>
    </row>
    <row r="18" spans="1:11" x14ac:dyDescent="0.35">
      <c r="A18" s="7">
        <v>105</v>
      </c>
      <c r="B18" t="s">
        <v>218</v>
      </c>
      <c r="C18" t="s">
        <v>219</v>
      </c>
      <c r="D18" t="s">
        <v>217</v>
      </c>
      <c r="J18" t="str">
        <f t="shared" si="2"/>
        <v xml:space="preserve">S MAIN ST     </v>
      </c>
      <c r="K18" t="str">
        <f t="shared" si="3"/>
        <v xml:space="preserve">105 S MAIN ST     </v>
      </c>
    </row>
    <row r="19" spans="1:11" x14ac:dyDescent="0.35">
      <c r="A19" s="7">
        <v>10354</v>
      </c>
      <c r="B19" t="s">
        <v>436</v>
      </c>
      <c r="C19" t="s">
        <v>425</v>
      </c>
      <c r="J19" t="str">
        <f t="shared" si="2"/>
        <v xml:space="preserve">DUNBARTON BLVD      </v>
      </c>
      <c r="K19" t="str">
        <f t="shared" si="3"/>
        <v xml:space="preserve">10354 DUNBARTON BLVD      </v>
      </c>
    </row>
    <row r="20" spans="1:11" x14ac:dyDescent="0.35">
      <c r="A20" s="7">
        <v>100</v>
      </c>
      <c r="B20" t="s">
        <v>215</v>
      </c>
      <c r="C20" t="s">
        <v>437</v>
      </c>
      <c r="D20" t="s">
        <v>217</v>
      </c>
      <c r="J20" t="str">
        <f t="shared" si="2"/>
        <v xml:space="preserve">W 1ST ST     </v>
      </c>
      <c r="K20" t="str">
        <f t="shared" si="3"/>
        <v xml:space="preserve">100 W 1ST ST     </v>
      </c>
    </row>
    <row r="21" spans="1:11" x14ac:dyDescent="0.35">
      <c r="A21" s="7">
        <v>439</v>
      </c>
      <c r="B21" t="s">
        <v>438</v>
      </c>
      <c r="C21" t="s">
        <v>217</v>
      </c>
      <c r="J21" t="str">
        <f t="shared" si="2"/>
        <v xml:space="preserve">BLOSSOM ST      </v>
      </c>
      <c r="K21" t="str">
        <f t="shared" si="3"/>
        <v xml:space="preserve">439 BLOSSOM ST      </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D214A-7943-45E0-9D7C-706676828EE0}">
  <sheetPr>
    <tabColor theme="5" tint="0.79998168889431442"/>
  </sheetPr>
  <dimension ref="A1:D14"/>
  <sheetViews>
    <sheetView workbookViewId="0">
      <selection activeCell="J11" sqref="J11"/>
    </sheetView>
  </sheetViews>
  <sheetFormatPr defaultRowHeight="14.5" x14ac:dyDescent="0.35"/>
  <cols>
    <col min="1" max="1" width="5.54296875" bestFit="1" customWidth="1"/>
    <col min="2" max="2" width="17" bestFit="1" customWidth="1"/>
    <col min="3" max="4" width="11.08984375" bestFit="1" customWidth="1"/>
  </cols>
  <sheetData>
    <row r="1" spans="1:4" ht="56.5" x14ac:dyDescent="0.35">
      <c r="A1" s="43" t="s">
        <v>239</v>
      </c>
      <c r="B1" s="43" t="s">
        <v>240</v>
      </c>
      <c r="C1" s="44" t="s">
        <v>241</v>
      </c>
      <c r="D1" s="44" t="s">
        <v>242</v>
      </c>
    </row>
    <row r="2" spans="1:4" x14ac:dyDescent="0.35">
      <c r="A2" s="45" t="s">
        <v>243</v>
      </c>
      <c r="B2" s="46" t="s">
        <v>244</v>
      </c>
      <c r="C2" s="47" t="s">
        <v>245</v>
      </c>
      <c r="D2" s="47" t="s">
        <v>246</v>
      </c>
    </row>
    <row r="3" spans="1:4" x14ac:dyDescent="0.35">
      <c r="A3" s="45" t="s">
        <v>247</v>
      </c>
      <c r="B3" s="46" t="s">
        <v>248</v>
      </c>
      <c r="C3" s="47" t="s">
        <v>249</v>
      </c>
      <c r="D3" s="47" t="s">
        <v>250</v>
      </c>
    </row>
    <row r="4" spans="1:4" x14ac:dyDescent="0.35">
      <c r="A4" s="45" t="s">
        <v>251</v>
      </c>
      <c r="B4" s="46" t="s">
        <v>252</v>
      </c>
      <c r="C4" s="47" t="s">
        <v>253</v>
      </c>
      <c r="D4" s="47" t="s">
        <v>254</v>
      </c>
    </row>
    <row r="5" spans="1:4" x14ac:dyDescent="0.35">
      <c r="A5" s="45" t="s">
        <v>255</v>
      </c>
      <c r="B5" s="46" t="s">
        <v>256</v>
      </c>
      <c r="C5" s="47" t="s">
        <v>257</v>
      </c>
      <c r="D5" s="47" t="s">
        <v>258</v>
      </c>
    </row>
    <row r="6" spans="1:4" x14ac:dyDescent="0.35">
      <c r="A6" s="45" t="s">
        <v>259</v>
      </c>
      <c r="B6" s="46" t="s">
        <v>260</v>
      </c>
      <c r="C6" s="47" t="s">
        <v>261</v>
      </c>
      <c r="D6" s="47" t="s">
        <v>262</v>
      </c>
    </row>
    <row r="7" spans="1:4" x14ac:dyDescent="0.35">
      <c r="A7" s="45" t="s">
        <v>263</v>
      </c>
      <c r="B7" s="46" t="s">
        <v>264</v>
      </c>
      <c r="C7" s="47" t="s">
        <v>265</v>
      </c>
      <c r="D7" s="47" t="s">
        <v>246</v>
      </c>
    </row>
    <row r="8" spans="1:4" x14ac:dyDescent="0.35">
      <c r="A8" s="45" t="s">
        <v>266</v>
      </c>
      <c r="B8" s="46" t="s">
        <v>267</v>
      </c>
      <c r="C8" s="47" t="s">
        <v>268</v>
      </c>
      <c r="D8" s="47" t="s">
        <v>269</v>
      </c>
    </row>
    <row r="9" spans="1:4" x14ac:dyDescent="0.35">
      <c r="A9" s="45" t="s">
        <v>270</v>
      </c>
      <c r="B9" s="46" t="s">
        <v>271</v>
      </c>
      <c r="C9" s="47" t="s">
        <v>272</v>
      </c>
      <c r="D9" s="47" t="s">
        <v>269</v>
      </c>
    </row>
    <row r="10" spans="1:4" x14ac:dyDescent="0.35">
      <c r="A10" s="48" t="s">
        <v>273</v>
      </c>
      <c r="B10" s="49" t="s">
        <v>274</v>
      </c>
      <c r="C10" s="50" t="s">
        <v>275</v>
      </c>
      <c r="D10" s="50" t="s">
        <v>276</v>
      </c>
    </row>
    <row r="11" spans="1:4" x14ac:dyDescent="0.35">
      <c r="A11" s="51" t="s">
        <v>277</v>
      </c>
      <c r="B11" s="52" t="s">
        <v>278</v>
      </c>
      <c r="C11" s="53" t="s">
        <v>275</v>
      </c>
      <c r="D11" s="53" t="s">
        <v>276</v>
      </c>
    </row>
    <row r="12" spans="1:4" x14ac:dyDescent="0.35">
      <c r="A12" s="45" t="s">
        <v>279</v>
      </c>
      <c r="B12" s="46" t="s">
        <v>280</v>
      </c>
      <c r="C12" s="47" t="s">
        <v>281</v>
      </c>
      <c r="D12" s="47" t="s">
        <v>262</v>
      </c>
    </row>
    <row r="13" spans="1:4" x14ac:dyDescent="0.35">
      <c r="A13" s="54" t="s">
        <v>282</v>
      </c>
      <c r="B13" s="55" t="s">
        <v>283</v>
      </c>
      <c r="C13" s="56" t="s">
        <v>284</v>
      </c>
      <c r="D13" s="56" t="s">
        <v>285</v>
      </c>
    </row>
    <row r="14" spans="1:4" x14ac:dyDescent="0.35">
      <c r="A14" s="57" t="s">
        <v>286</v>
      </c>
      <c r="B14" s="58" t="s">
        <v>287</v>
      </c>
      <c r="C14" s="59" t="s">
        <v>288</v>
      </c>
      <c r="D14" s="59" t="s">
        <v>289</v>
      </c>
    </row>
  </sheetData>
  <autoFilter ref="A1:C1" xr:uid="{3B16E016-CED1-43D9-B1E4-6C0A62FCA58D}">
    <sortState xmlns:xlrd2="http://schemas.microsoft.com/office/spreadsheetml/2017/richdata2" ref="A2:C14">
      <sortCondition ref="A1"/>
    </sortState>
  </autoFilter>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CE811-D45F-4878-8909-E617CC2FCA60}">
  <sheetPr>
    <tabColor theme="5" tint="0.59999389629810485"/>
  </sheetPr>
  <dimension ref="A1:C21"/>
  <sheetViews>
    <sheetView zoomScale="85" zoomScaleNormal="85" workbookViewId="0">
      <selection activeCell="I11" sqref="I11"/>
    </sheetView>
  </sheetViews>
  <sheetFormatPr defaultRowHeight="14.5" x14ac:dyDescent="0.35"/>
  <cols>
    <col min="1" max="1" width="15.90625" style="2" bestFit="1" customWidth="1"/>
    <col min="2" max="2" width="10" style="2" bestFit="1" customWidth="1"/>
    <col min="3" max="3" width="15.90625" style="2" bestFit="1" customWidth="1"/>
  </cols>
  <sheetData>
    <row r="1" spans="1:3" x14ac:dyDescent="0.35">
      <c r="A1" s="8" t="s">
        <v>213</v>
      </c>
      <c r="B1" s="2" t="s">
        <v>214</v>
      </c>
      <c r="C1" s="8" t="s">
        <v>213</v>
      </c>
    </row>
    <row r="2" spans="1:3" x14ac:dyDescent="0.35">
      <c r="A2" s="7" t="s">
        <v>440</v>
      </c>
      <c r="B2" s="7" t="s">
        <v>327</v>
      </c>
      <c r="C2" s="7" t="s">
        <v>440</v>
      </c>
    </row>
    <row r="3" spans="1:3" x14ac:dyDescent="0.35">
      <c r="A3" s="7" t="s">
        <v>441</v>
      </c>
      <c r="B3" s="7" t="s">
        <v>340</v>
      </c>
      <c r="C3" s="7" t="s">
        <v>441</v>
      </c>
    </row>
    <row r="4" spans="1:3" x14ac:dyDescent="0.35">
      <c r="A4" s="7" t="s">
        <v>442</v>
      </c>
      <c r="B4" s="7" t="s">
        <v>343</v>
      </c>
      <c r="C4" s="7" t="s">
        <v>442</v>
      </c>
    </row>
    <row r="5" spans="1:3" x14ac:dyDescent="0.35">
      <c r="A5" s="7" t="s">
        <v>443</v>
      </c>
      <c r="B5" s="7" t="s">
        <v>346</v>
      </c>
      <c r="C5" s="63" t="s">
        <v>443</v>
      </c>
    </row>
    <row r="6" spans="1:3" x14ac:dyDescent="0.35">
      <c r="A6" s="7" t="s">
        <v>444</v>
      </c>
      <c r="B6" s="7" t="s">
        <v>349</v>
      </c>
      <c r="C6" s="7" t="s">
        <v>444</v>
      </c>
    </row>
    <row r="7" spans="1:3" x14ac:dyDescent="0.35">
      <c r="A7" s="7" t="s">
        <v>445</v>
      </c>
      <c r="B7" s="7" t="s">
        <v>352</v>
      </c>
      <c r="C7" s="7" t="s">
        <v>445</v>
      </c>
    </row>
    <row r="8" spans="1:3" x14ac:dyDescent="0.35">
      <c r="A8" s="7" t="s">
        <v>446</v>
      </c>
      <c r="B8" s="7" t="s">
        <v>355</v>
      </c>
      <c r="C8" s="7" t="s">
        <v>446</v>
      </c>
    </row>
    <row r="9" spans="1:3" x14ac:dyDescent="0.35">
      <c r="A9" s="7" t="s">
        <v>447</v>
      </c>
      <c r="B9" s="7" t="s">
        <v>358</v>
      </c>
      <c r="C9" s="7" t="s">
        <v>447</v>
      </c>
    </row>
    <row r="10" spans="1:3" x14ac:dyDescent="0.35">
      <c r="A10" s="7" t="s">
        <v>448</v>
      </c>
      <c r="B10" s="7" t="s">
        <v>360</v>
      </c>
      <c r="C10" s="7" t="s">
        <v>448</v>
      </c>
    </row>
    <row r="11" spans="1:3" x14ac:dyDescent="0.35">
      <c r="A11" s="7" t="s">
        <v>449</v>
      </c>
      <c r="B11" s="7" t="s">
        <v>363</v>
      </c>
      <c r="C11" s="7" t="s">
        <v>449</v>
      </c>
    </row>
    <row r="12" spans="1:3" x14ac:dyDescent="0.35">
      <c r="A12" s="7" t="s">
        <v>450</v>
      </c>
      <c r="B12" s="7" t="s">
        <v>366</v>
      </c>
      <c r="C12" s="7" t="s">
        <v>450</v>
      </c>
    </row>
    <row r="13" spans="1:3" x14ac:dyDescent="0.35">
      <c r="A13" s="7" t="s">
        <v>451</v>
      </c>
      <c r="B13" s="7" t="s">
        <v>369</v>
      </c>
      <c r="C13" s="7" t="s">
        <v>451</v>
      </c>
    </row>
    <row r="14" spans="1:3" x14ac:dyDescent="0.35">
      <c r="A14" s="7" t="s">
        <v>452</v>
      </c>
      <c r="B14" s="7" t="s">
        <v>372</v>
      </c>
      <c r="C14" s="7" t="s">
        <v>452</v>
      </c>
    </row>
    <row r="15" spans="1:3" x14ac:dyDescent="0.35">
      <c r="A15" s="7" t="s">
        <v>453</v>
      </c>
      <c r="B15" s="7" t="s">
        <v>375</v>
      </c>
      <c r="C15" s="7" t="s">
        <v>453</v>
      </c>
    </row>
    <row r="16" spans="1:3" x14ac:dyDescent="0.35">
      <c r="A16" s="7" t="s">
        <v>454</v>
      </c>
      <c r="B16" s="7" t="s">
        <v>378</v>
      </c>
      <c r="C16" s="7" t="s">
        <v>454</v>
      </c>
    </row>
    <row r="17" spans="1:3" x14ac:dyDescent="0.35">
      <c r="A17" s="7" t="s">
        <v>455</v>
      </c>
      <c r="B17" s="7" t="s">
        <v>380</v>
      </c>
      <c r="C17" s="7" t="s">
        <v>455</v>
      </c>
    </row>
    <row r="18" spans="1:3" x14ac:dyDescent="0.35">
      <c r="A18" s="7" t="s">
        <v>456</v>
      </c>
      <c r="B18" s="7" t="s">
        <v>390</v>
      </c>
      <c r="C18" s="7" t="s">
        <v>456</v>
      </c>
    </row>
    <row r="19" spans="1:3" x14ac:dyDescent="0.35">
      <c r="A19" s="7" t="s">
        <v>457</v>
      </c>
      <c r="B19" s="7" t="s">
        <v>383</v>
      </c>
      <c r="C19" s="7" t="s">
        <v>457</v>
      </c>
    </row>
    <row r="20" spans="1:3" x14ac:dyDescent="0.35">
      <c r="A20" s="7" t="s">
        <v>458</v>
      </c>
      <c r="B20" s="7" t="s">
        <v>385</v>
      </c>
      <c r="C20" s="7" t="s">
        <v>458</v>
      </c>
    </row>
    <row r="21" spans="1:3" x14ac:dyDescent="0.35">
      <c r="A21" s="7" t="s">
        <v>459</v>
      </c>
      <c r="B21" s="7" t="s">
        <v>388</v>
      </c>
      <c r="C21" s="7" t="s">
        <v>459</v>
      </c>
    </row>
  </sheetData>
  <autoFilter ref="A1:B1" xr:uid="{158AE702-4142-4DDF-AF82-D714B601BCC7}">
    <sortState xmlns:xlrd2="http://schemas.microsoft.com/office/spreadsheetml/2017/richdata2" ref="A2:B21">
      <sortCondition ref="B1"/>
    </sortState>
  </autoFilter>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45C2E-7D35-47CE-BB52-341000B40888}">
  <sheetPr>
    <tabColor rgb="FFFFFF00"/>
  </sheetPr>
  <dimension ref="A1:I2"/>
  <sheetViews>
    <sheetView workbookViewId="0">
      <selection activeCell="I2" sqref="I2"/>
    </sheetView>
  </sheetViews>
  <sheetFormatPr defaultRowHeight="14.5" x14ac:dyDescent="0.35"/>
  <cols>
    <col min="1" max="1" width="12.26953125" bestFit="1" customWidth="1"/>
    <col min="2" max="2" width="11.81640625" bestFit="1" customWidth="1"/>
    <col min="3" max="3" width="12.26953125" bestFit="1" customWidth="1"/>
    <col min="4" max="4" width="11.26953125" bestFit="1" customWidth="1"/>
    <col min="5" max="5" width="14.54296875" bestFit="1" customWidth="1"/>
    <col min="6" max="6" width="12.54296875" bestFit="1" customWidth="1"/>
    <col min="7" max="7" width="18.1796875" bestFit="1" customWidth="1"/>
    <col min="8" max="8" width="22.7265625" bestFit="1" customWidth="1"/>
    <col min="9" max="9" width="18.54296875" bestFit="1" customWidth="1"/>
  </cols>
  <sheetData>
    <row r="1" spans="1:9" x14ac:dyDescent="0.35">
      <c r="A1" s="90" t="s">
        <v>524</v>
      </c>
      <c r="B1" s="89" t="s">
        <v>523</v>
      </c>
      <c r="C1" s="89" t="s">
        <v>522</v>
      </c>
      <c r="D1" s="89" t="s">
        <v>92</v>
      </c>
      <c r="E1" s="89" t="s">
        <v>521</v>
      </c>
      <c r="F1" s="89" t="s">
        <v>520</v>
      </c>
      <c r="G1" s="88" t="s">
        <v>519</v>
      </c>
      <c r="H1" s="87" t="s">
        <v>518</v>
      </c>
      <c r="I1" s="10"/>
    </row>
    <row r="2" spans="1:9" x14ac:dyDescent="0.35">
      <c r="A2" s="90" t="s">
        <v>517</v>
      </c>
      <c r="B2" s="89" t="s">
        <v>516</v>
      </c>
      <c r="C2" s="89" t="s">
        <v>515</v>
      </c>
      <c r="D2" s="89" t="s">
        <v>514</v>
      </c>
      <c r="E2" s="89" t="s">
        <v>513</v>
      </c>
      <c r="F2" s="89" t="s">
        <v>512</v>
      </c>
      <c r="G2" s="88" t="s">
        <v>511</v>
      </c>
      <c r="H2" s="87" t="s">
        <v>510</v>
      </c>
      <c r="I2" s="10"/>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E45A2-C06E-4905-9BAA-CC666C041538}">
  <sheetPr>
    <tabColor rgb="FFFFFF00"/>
  </sheetPr>
  <dimension ref="A1:AF15"/>
  <sheetViews>
    <sheetView workbookViewId="0">
      <selection activeCell="G20" sqref="G20"/>
    </sheetView>
  </sheetViews>
  <sheetFormatPr defaultColWidth="9.1796875" defaultRowHeight="14.5" x14ac:dyDescent="0.35"/>
  <cols>
    <col min="1" max="1" width="13.453125" style="10" bestFit="1" customWidth="1"/>
    <col min="2" max="2" width="16.1796875" style="10" bestFit="1" customWidth="1"/>
    <col min="3" max="4" width="16.1796875" style="10" customWidth="1"/>
    <col min="5" max="5" width="13.54296875" style="10" bestFit="1" customWidth="1"/>
    <col min="6" max="6" width="12.7265625" style="10" bestFit="1" customWidth="1"/>
    <col min="7" max="7" width="13.54296875" style="66" bestFit="1" customWidth="1"/>
    <col min="8" max="8" width="12.7265625" style="10" bestFit="1" customWidth="1"/>
    <col min="9" max="9" width="12.1796875" style="10" bestFit="1" customWidth="1"/>
    <col min="10" max="10" width="11.453125" style="10" bestFit="1" customWidth="1"/>
    <col min="11" max="11" width="12.1796875" style="10" bestFit="1" customWidth="1"/>
    <col min="12" max="12" width="11.453125" style="10" bestFit="1" customWidth="1"/>
    <col min="13" max="13" width="12.54296875" style="10" bestFit="1" customWidth="1"/>
    <col min="14" max="14" width="11.81640625" style="10" bestFit="1" customWidth="1"/>
    <col min="15" max="15" width="12.54296875" style="10" bestFit="1" customWidth="1"/>
    <col min="16" max="16" width="11.81640625" style="10" bestFit="1" customWidth="1"/>
    <col min="17" max="17" width="13.1796875" style="10" bestFit="1" customWidth="1"/>
    <col min="18" max="18" width="12.26953125" style="10" bestFit="1" customWidth="1"/>
    <col min="19" max="19" width="13.1796875" style="10" bestFit="1" customWidth="1"/>
    <col min="20" max="20" width="12.26953125" style="10" bestFit="1" customWidth="1"/>
    <col min="21" max="21" width="12.453125" style="10" bestFit="1" customWidth="1"/>
    <col min="22" max="22" width="11.7265625" style="10" bestFit="1" customWidth="1"/>
    <col min="23" max="23" width="12.453125" style="10" bestFit="1" customWidth="1"/>
    <col min="24" max="24" width="11.7265625" style="10" bestFit="1" customWidth="1"/>
    <col min="25" max="25" width="12.54296875" style="10" bestFit="1" customWidth="1"/>
    <col min="26" max="26" width="11.81640625" style="10" bestFit="1" customWidth="1"/>
    <col min="27" max="27" width="12.54296875" style="10" bestFit="1" customWidth="1"/>
    <col min="28" max="28" width="11.81640625" style="10" bestFit="1" customWidth="1"/>
    <col min="29" max="29" width="12.7265625" style="10" bestFit="1" customWidth="1"/>
    <col min="30" max="30" width="12" style="10" bestFit="1" customWidth="1"/>
    <col min="31" max="31" width="12.7265625" style="10" bestFit="1" customWidth="1"/>
    <col min="32" max="32" width="12" style="10" bestFit="1" customWidth="1"/>
    <col min="33" max="16384" width="9.1796875" style="10"/>
  </cols>
  <sheetData>
    <row r="1" spans="1:32" s="66" customFormat="1" x14ac:dyDescent="0.35">
      <c r="A1" s="86" t="s">
        <v>509</v>
      </c>
      <c r="B1" s="86" t="s">
        <v>508</v>
      </c>
      <c r="C1" s="85" t="s">
        <v>507</v>
      </c>
      <c r="D1" s="84" t="s">
        <v>506</v>
      </c>
      <c r="E1" s="83" t="s">
        <v>505</v>
      </c>
      <c r="F1" s="82" t="s">
        <v>505</v>
      </c>
      <c r="G1" s="81" t="s">
        <v>505</v>
      </c>
      <c r="H1" s="81" t="s">
        <v>505</v>
      </c>
      <c r="I1" s="82" t="s">
        <v>504</v>
      </c>
      <c r="J1" s="82" t="s">
        <v>504</v>
      </c>
      <c r="K1" s="81" t="s">
        <v>504</v>
      </c>
      <c r="L1" s="81" t="s">
        <v>504</v>
      </c>
      <c r="M1" s="82" t="s">
        <v>503</v>
      </c>
      <c r="N1" s="82" t="s">
        <v>503</v>
      </c>
      <c r="O1" s="81" t="s">
        <v>503</v>
      </c>
      <c r="P1" s="81" t="s">
        <v>503</v>
      </c>
      <c r="Q1" s="82" t="s">
        <v>502</v>
      </c>
      <c r="R1" s="82" t="s">
        <v>502</v>
      </c>
      <c r="S1" s="81" t="s">
        <v>502</v>
      </c>
      <c r="T1" s="81" t="s">
        <v>502</v>
      </c>
      <c r="U1" s="82" t="s">
        <v>501</v>
      </c>
      <c r="V1" s="82" t="s">
        <v>501</v>
      </c>
      <c r="W1" s="81" t="s">
        <v>501</v>
      </c>
      <c r="X1" s="81" t="s">
        <v>501</v>
      </c>
      <c r="Y1" s="82" t="s">
        <v>500</v>
      </c>
      <c r="Z1" s="82" t="s">
        <v>500</v>
      </c>
      <c r="AA1" s="81" t="s">
        <v>500</v>
      </c>
      <c r="AB1" s="81" t="s">
        <v>500</v>
      </c>
      <c r="AC1" s="82" t="s">
        <v>499</v>
      </c>
      <c r="AD1" s="82" t="s">
        <v>499</v>
      </c>
      <c r="AE1" s="81" t="s">
        <v>499</v>
      </c>
      <c r="AF1" s="80" t="s">
        <v>499</v>
      </c>
    </row>
    <row r="2" spans="1:32" s="72" customFormat="1" ht="15" thickBot="1" x14ac:dyDescent="0.4">
      <c r="A2" s="79" t="s">
        <v>498</v>
      </c>
      <c r="B2" s="79" t="s">
        <v>497</v>
      </c>
      <c r="C2" s="78" t="s">
        <v>496</v>
      </c>
      <c r="D2" s="77" t="s">
        <v>495</v>
      </c>
      <c r="E2" s="76" t="s">
        <v>494</v>
      </c>
      <c r="F2" s="75" t="s">
        <v>493</v>
      </c>
      <c r="G2" s="74" t="s">
        <v>492</v>
      </c>
      <c r="H2" s="74" t="s">
        <v>491</v>
      </c>
      <c r="I2" s="75" t="s">
        <v>490</v>
      </c>
      <c r="J2" s="75" t="s">
        <v>489</v>
      </c>
      <c r="K2" s="74" t="s">
        <v>488</v>
      </c>
      <c r="L2" s="74" t="s">
        <v>487</v>
      </c>
      <c r="M2" s="75" t="s">
        <v>486</v>
      </c>
      <c r="N2" s="75" t="s">
        <v>485</v>
      </c>
      <c r="O2" s="74" t="s">
        <v>484</v>
      </c>
      <c r="P2" s="74" t="s">
        <v>483</v>
      </c>
      <c r="Q2" s="75" t="s">
        <v>482</v>
      </c>
      <c r="R2" s="75" t="s">
        <v>481</v>
      </c>
      <c r="S2" s="74" t="s">
        <v>480</v>
      </c>
      <c r="T2" s="74" t="s">
        <v>479</v>
      </c>
      <c r="U2" s="75" t="s">
        <v>478</v>
      </c>
      <c r="V2" s="75" t="s">
        <v>477</v>
      </c>
      <c r="W2" s="74" t="s">
        <v>476</v>
      </c>
      <c r="X2" s="74" t="s">
        <v>475</v>
      </c>
      <c r="Y2" s="75" t="s">
        <v>474</v>
      </c>
      <c r="Z2" s="75" t="s">
        <v>473</v>
      </c>
      <c r="AA2" s="74" t="s">
        <v>472</v>
      </c>
      <c r="AB2" s="74" t="s">
        <v>471</v>
      </c>
      <c r="AC2" s="75" t="s">
        <v>470</v>
      </c>
      <c r="AD2" s="75" t="s">
        <v>469</v>
      </c>
      <c r="AE2" s="74" t="s">
        <v>468</v>
      </c>
      <c r="AF2" s="73" t="s">
        <v>467</v>
      </c>
    </row>
    <row r="3" spans="1:32" x14ac:dyDescent="0.35">
      <c r="A3"/>
      <c r="B3" s="71" t="s">
        <v>466</v>
      </c>
      <c r="C3" s="70" t="s">
        <v>465</v>
      </c>
      <c r="D3" s="70" t="s">
        <v>464</v>
      </c>
      <c r="E3" s="69" t="s">
        <v>463</v>
      </c>
      <c r="F3" s="69" t="s">
        <v>462</v>
      </c>
      <c r="G3" s="67" t="s">
        <v>461</v>
      </c>
      <c r="H3" s="67">
        <v>0</v>
      </c>
      <c r="I3" s="68" t="str">
        <f t="shared" ref="I3:I15" si="0">E3</f>
        <v>080000</v>
      </c>
      <c r="J3" s="68" t="str">
        <f t="shared" ref="J3:J15" si="1">F3</f>
        <v>170000</v>
      </c>
      <c r="K3" s="67" t="str">
        <f t="shared" ref="K3:K15" si="2">G3</f>
        <v>000000</v>
      </c>
      <c r="L3" s="67">
        <f t="shared" ref="L3:L15" si="3">H3</f>
        <v>0</v>
      </c>
      <c r="M3" s="68" t="str">
        <f t="shared" ref="M3:M15" si="4">E3</f>
        <v>080000</v>
      </c>
      <c r="N3" s="68" t="str">
        <f t="shared" ref="N3:N15" si="5">F3</f>
        <v>170000</v>
      </c>
      <c r="O3" s="67" t="str">
        <f t="shared" ref="O3:O15" si="6">G3</f>
        <v>000000</v>
      </c>
      <c r="P3" s="67">
        <f t="shared" ref="P3:P15" si="7">H3</f>
        <v>0</v>
      </c>
      <c r="Q3" s="68" t="str">
        <f t="shared" ref="Q3:Q15" si="8">E3</f>
        <v>080000</v>
      </c>
      <c r="R3" s="68" t="str">
        <f t="shared" ref="R3:R15" si="9">F3</f>
        <v>170000</v>
      </c>
      <c r="S3" s="67" t="str">
        <f t="shared" ref="S3:S15" si="10">G3</f>
        <v>000000</v>
      </c>
      <c r="T3" s="67">
        <f t="shared" ref="T3:T15" si="11">H3</f>
        <v>0</v>
      </c>
      <c r="U3" s="68" t="str">
        <f t="shared" ref="U3:U15" si="12">E3</f>
        <v>080000</v>
      </c>
      <c r="V3" s="68" t="str">
        <f t="shared" ref="V3:V15" si="13">F3</f>
        <v>170000</v>
      </c>
      <c r="W3" s="67" t="str">
        <f t="shared" ref="W3:W15" si="14">G3</f>
        <v>000000</v>
      </c>
      <c r="X3" s="67">
        <f t="shared" ref="X3:X15" si="15">H3</f>
        <v>0</v>
      </c>
      <c r="Y3" s="68" t="str">
        <f t="shared" ref="Y3:Y15" si="16">M3</f>
        <v>080000</v>
      </c>
      <c r="Z3" s="68" t="str">
        <f t="shared" ref="Z3:Z15" si="17">N3</f>
        <v>170000</v>
      </c>
      <c r="AA3" s="67" t="str">
        <f t="shared" ref="AA3:AA15" si="18">O3</f>
        <v>000000</v>
      </c>
      <c r="AB3" s="67">
        <f t="shared" ref="AB3:AB15" si="19">P3</f>
        <v>0</v>
      </c>
      <c r="AC3" s="68" t="str">
        <f t="shared" ref="AC3:AC15" si="20">Q3</f>
        <v>080000</v>
      </c>
      <c r="AD3" s="68" t="str">
        <f t="shared" ref="AD3:AD15" si="21">R3</f>
        <v>170000</v>
      </c>
      <c r="AE3" s="67" t="str">
        <f t="shared" ref="AE3:AE15" si="22">S3</f>
        <v>000000</v>
      </c>
      <c r="AF3" s="67">
        <f t="shared" ref="AF3:AF15" si="23">T3</f>
        <v>0</v>
      </c>
    </row>
    <row r="4" spans="1:32" x14ac:dyDescent="0.35">
      <c r="A4"/>
      <c r="B4" s="71" t="s">
        <v>466</v>
      </c>
      <c r="C4" s="70" t="s">
        <v>465</v>
      </c>
      <c r="D4" s="70" t="s">
        <v>464</v>
      </c>
      <c r="E4" s="69" t="s">
        <v>463</v>
      </c>
      <c r="F4" s="69" t="s">
        <v>462</v>
      </c>
      <c r="G4" s="67" t="s">
        <v>461</v>
      </c>
      <c r="H4" s="67">
        <v>0</v>
      </c>
      <c r="I4" s="68" t="str">
        <f t="shared" si="0"/>
        <v>080000</v>
      </c>
      <c r="J4" s="68" t="str">
        <f t="shared" si="1"/>
        <v>170000</v>
      </c>
      <c r="K4" s="67" t="str">
        <f t="shared" si="2"/>
        <v>000000</v>
      </c>
      <c r="L4" s="67">
        <f t="shared" si="3"/>
        <v>0</v>
      </c>
      <c r="M4" s="68" t="str">
        <f t="shared" si="4"/>
        <v>080000</v>
      </c>
      <c r="N4" s="68" t="str">
        <f t="shared" si="5"/>
        <v>170000</v>
      </c>
      <c r="O4" s="67" t="str">
        <f t="shared" si="6"/>
        <v>000000</v>
      </c>
      <c r="P4" s="67">
        <f t="shared" si="7"/>
        <v>0</v>
      </c>
      <c r="Q4" s="68" t="str">
        <f t="shared" si="8"/>
        <v>080000</v>
      </c>
      <c r="R4" s="68" t="str">
        <f t="shared" si="9"/>
        <v>170000</v>
      </c>
      <c r="S4" s="67" t="str">
        <f t="shared" si="10"/>
        <v>000000</v>
      </c>
      <c r="T4" s="67">
        <f t="shared" si="11"/>
        <v>0</v>
      </c>
      <c r="U4" s="68" t="str">
        <f t="shared" si="12"/>
        <v>080000</v>
      </c>
      <c r="V4" s="68" t="str">
        <f t="shared" si="13"/>
        <v>170000</v>
      </c>
      <c r="W4" s="67" t="str">
        <f t="shared" si="14"/>
        <v>000000</v>
      </c>
      <c r="X4" s="67">
        <f t="shared" si="15"/>
        <v>0</v>
      </c>
      <c r="Y4" s="68" t="str">
        <f t="shared" si="16"/>
        <v>080000</v>
      </c>
      <c r="Z4" s="68" t="str">
        <f t="shared" si="17"/>
        <v>170000</v>
      </c>
      <c r="AA4" s="67" t="str">
        <f t="shared" si="18"/>
        <v>000000</v>
      </c>
      <c r="AB4" s="67">
        <f t="shared" si="19"/>
        <v>0</v>
      </c>
      <c r="AC4" s="68" t="str">
        <f t="shared" si="20"/>
        <v>080000</v>
      </c>
      <c r="AD4" s="68" t="str">
        <f t="shared" si="21"/>
        <v>170000</v>
      </c>
      <c r="AE4" s="67" t="str">
        <f t="shared" si="22"/>
        <v>000000</v>
      </c>
      <c r="AF4" s="67">
        <f t="shared" si="23"/>
        <v>0</v>
      </c>
    </row>
    <row r="5" spans="1:32" x14ac:dyDescent="0.35">
      <c r="A5"/>
      <c r="B5" s="71" t="s">
        <v>466</v>
      </c>
      <c r="C5" s="70" t="s">
        <v>465</v>
      </c>
      <c r="D5" s="70" t="s">
        <v>464</v>
      </c>
      <c r="E5" s="69" t="s">
        <v>463</v>
      </c>
      <c r="F5" s="69" t="s">
        <v>462</v>
      </c>
      <c r="G5" s="67" t="s">
        <v>461</v>
      </c>
      <c r="H5" s="67">
        <v>0</v>
      </c>
      <c r="I5" s="68" t="str">
        <f t="shared" si="0"/>
        <v>080000</v>
      </c>
      <c r="J5" s="68" t="str">
        <f t="shared" si="1"/>
        <v>170000</v>
      </c>
      <c r="K5" s="67" t="str">
        <f t="shared" si="2"/>
        <v>000000</v>
      </c>
      <c r="L5" s="67">
        <f t="shared" si="3"/>
        <v>0</v>
      </c>
      <c r="M5" s="68" t="str">
        <f t="shared" si="4"/>
        <v>080000</v>
      </c>
      <c r="N5" s="68" t="str">
        <f t="shared" si="5"/>
        <v>170000</v>
      </c>
      <c r="O5" s="67" t="str">
        <f t="shared" si="6"/>
        <v>000000</v>
      </c>
      <c r="P5" s="67">
        <f t="shared" si="7"/>
        <v>0</v>
      </c>
      <c r="Q5" s="68" t="str">
        <f t="shared" si="8"/>
        <v>080000</v>
      </c>
      <c r="R5" s="68" t="str">
        <f t="shared" si="9"/>
        <v>170000</v>
      </c>
      <c r="S5" s="67" t="str">
        <f t="shared" si="10"/>
        <v>000000</v>
      </c>
      <c r="T5" s="67">
        <f t="shared" si="11"/>
        <v>0</v>
      </c>
      <c r="U5" s="68" t="str">
        <f t="shared" si="12"/>
        <v>080000</v>
      </c>
      <c r="V5" s="68" t="str">
        <f t="shared" si="13"/>
        <v>170000</v>
      </c>
      <c r="W5" s="67" t="str">
        <f t="shared" si="14"/>
        <v>000000</v>
      </c>
      <c r="X5" s="67">
        <f t="shared" si="15"/>
        <v>0</v>
      </c>
      <c r="Y5" s="68" t="str">
        <f t="shared" si="16"/>
        <v>080000</v>
      </c>
      <c r="Z5" s="68" t="str">
        <f t="shared" si="17"/>
        <v>170000</v>
      </c>
      <c r="AA5" s="67" t="str">
        <f t="shared" si="18"/>
        <v>000000</v>
      </c>
      <c r="AB5" s="67">
        <f t="shared" si="19"/>
        <v>0</v>
      </c>
      <c r="AC5" s="68" t="str">
        <f t="shared" si="20"/>
        <v>080000</v>
      </c>
      <c r="AD5" s="68" t="str">
        <f t="shared" si="21"/>
        <v>170000</v>
      </c>
      <c r="AE5" s="67" t="str">
        <f t="shared" si="22"/>
        <v>000000</v>
      </c>
      <c r="AF5" s="67">
        <f t="shared" si="23"/>
        <v>0</v>
      </c>
    </row>
    <row r="6" spans="1:32" x14ac:dyDescent="0.35">
      <c r="A6"/>
      <c r="B6" s="71" t="s">
        <v>466</v>
      </c>
      <c r="C6" s="70" t="s">
        <v>465</v>
      </c>
      <c r="D6" s="70" t="s">
        <v>464</v>
      </c>
      <c r="E6" s="69" t="s">
        <v>463</v>
      </c>
      <c r="F6" s="69" t="s">
        <v>462</v>
      </c>
      <c r="G6" s="67" t="s">
        <v>461</v>
      </c>
      <c r="H6" s="67">
        <v>0</v>
      </c>
      <c r="I6" s="68" t="str">
        <f t="shared" si="0"/>
        <v>080000</v>
      </c>
      <c r="J6" s="68" t="str">
        <f t="shared" si="1"/>
        <v>170000</v>
      </c>
      <c r="K6" s="67" t="str">
        <f t="shared" si="2"/>
        <v>000000</v>
      </c>
      <c r="L6" s="67">
        <f t="shared" si="3"/>
        <v>0</v>
      </c>
      <c r="M6" s="68" t="str">
        <f t="shared" si="4"/>
        <v>080000</v>
      </c>
      <c r="N6" s="68" t="str">
        <f t="shared" si="5"/>
        <v>170000</v>
      </c>
      <c r="O6" s="67" t="str">
        <f t="shared" si="6"/>
        <v>000000</v>
      </c>
      <c r="P6" s="67">
        <f t="shared" si="7"/>
        <v>0</v>
      </c>
      <c r="Q6" s="68" t="str">
        <f t="shared" si="8"/>
        <v>080000</v>
      </c>
      <c r="R6" s="68" t="str">
        <f t="shared" si="9"/>
        <v>170000</v>
      </c>
      <c r="S6" s="67" t="str">
        <f t="shared" si="10"/>
        <v>000000</v>
      </c>
      <c r="T6" s="67">
        <f t="shared" si="11"/>
        <v>0</v>
      </c>
      <c r="U6" s="68" t="str">
        <f t="shared" si="12"/>
        <v>080000</v>
      </c>
      <c r="V6" s="68" t="str">
        <f t="shared" si="13"/>
        <v>170000</v>
      </c>
      <c r="W6" s="67" t="str">
        <f t="shared" si="14"/>
        <v>000000</v>
      </c>
      <c r="X6" s="67">
        <f t="shared" si="15"/>
        <v>0</v>
      </c>
      <c r="Y6" s="68" t="str">
        <f t="shared" si="16"/>
        <v>080000</v>
      </c>
      <c r="Z6" s="68" t="str">
        <f t="shared" si="17"/>
        <v>170000</v>
      </c>
      <c r="AA6" s="67" t="str">
        <f t="shared" si="18"/>
        <v>000000</v>
      </c>
      <c r="AB6" s="67">
        <f t="shared" si="19"/>
        <v>0</v>
      </c>
      <c r="AC6" s="68" t="str">
        <f t="shared" si="20"/>
        <v>080000</v>
      </c>
      <c r="AD6" s="68" t="str">
        <f t="shared" si="21"/>
        <v>170000</v>
      </c>
      <c r="AE6" s="67" t="str">
        <f t="shared" si="22"/>
        <v>000000</v>
      </c>
      <c r="AF6" s="67">
        <f t="shared" si="23"/>
        <v>0</v>
      </c>
    </row>
    <row r="7" spans="1:32" x14ac:dyDescent="0.35">
      <c r="A7"/>
      <c r="B7" s="71" t="s">
        <v>466</v>
      </c>
      <c r="C7" s="70" t="s">
        <v>465</v>
      </c>
      <c r="D7" s="70" t="s">
        <v>464</v>
      </c>
      <c r="E7" s="69" t="s">
        <v>463</v>
      </c>
      <c r="F7" s="69" t="s">
        <v>462</v>
      </c>
      <c r="G7" s="67" t="s">
        <v>461</v>
      </c>
      <c r="H7" s="67">
        <v>0</v>
      </c>
      <c r="I7" s="68" t="str">
        <f t="shared" si="0"/>
        <v>080000</v>
      </c>
      <c r="J7" s="68" t="str">
        <f t="shared" si="1"/>
        <v>170000</v>
      </c>
      <c r="K7" s="67" t="str">
        <f t="shared" si="2"/>
        <v>000000</v>
      </c>
      <c r="L7" s="67">
        <f t="shared" si="3"/>
        <v>0</v>
      </c>
      <c r="M7" s="68" t="str">
        <f t="shared" si="4"/>
        <v>080000</v>
      </c>
      <c r="N7" s="68" t="str">
        <f t="shared" si="5"/>
        <v>170000</v>
      </c>
      <c r="O7" s="67" t="str">
        <f t="shared" si="6"/>
        <v>000000</v>
      </c>
      <c r="P7" s="67">
        <f t="shared" si="7"/>
        <v>0</v>
      </c>
      <c r="Q7" s="68" t="str">
        <f t="shared" si="8"/>
        <v>080000</v>
      </c>
      <c r="R7" s="68" t="str">
        <f t="shared" si="9"/>
        <v>170000</v>
      </c>
      <c r="S7" s="67" t="str">
        <f t="shared" si="10"/>
        <v>000000</v>
      </c>
      <c r="T7" s="67">
        <f t="shared" si="11"/>
        <v>0</v>
      </c>
      <c r="U7" s="68" t="str">
        <f t="shared" si="12"/>
        <v>080000</v>
      </c>
      <c r="V7" s="68" t="str">
        <f t="shared" si="13"/>
        <v>170000</v>
      </c>
      <c r="W7" s="67" t="str">
        <f t="shared" si="14"/>
        <v>000000</v>
      </c>
      <c r="X7" s="67">
        <f t="shared" si="15"/>
        <v>0</v>
      </c>
      <c r="Y7" s="68" t="str">
        <f t="shared" si="16"/>
        <v>080000</v>
      </c>
      <c r="Z7" s="68" t="str">
        <f t="shared" si="17"/>
        <v>170000</v>
      </c>
      <c r="AA7" s="67" t="str">
        <f t="shared" si="18"/>
        <v>000000</v>
      </c>
      <c r="AB7" s="67">
        <f t="shared" si="19"/>
        <v>0</v>
      </c>
      <c r="AC7" s="68" t="str">
        <f t="shared" si="20"/>
        <v>080000</v>
      </c>
      <c r="AD7" s="68" t="str">
        <f t="shared" si="21"/>
        <v>170000</v>
      </c>
      <c r="AE7" s="67" t="str">
        <f t="shared" si="22"/>
        <v>000000</v>
      </c>
      <c r="AF7" s="67">
        <f t="shared" si="23"/>
        <v>0</v>
      </c>
    </row>
    <row r="8" spans="1:32" x14ac:dyDescent="0.35">
      <c r="A8"/>
      <c r="B8" s="71" t="s">
        <v>466</v>
      </c>
      <c r="C8" s="70" t="s">
        <v>465</v>
      </c>
      <c r="D8" s="70" t="s">
        <v>464</v>
      </c>
      <c r="E8" s="69" t="s">
        <v>463</v>
      </c>
      <c r="F8" s="69" t="s">
        <v>462</v>
      </c>
      <c r="G8" s="67" t="s">
        <v>461</v>
      </c>
      <c r="H8" s="67">
        <v>0</v>
      </c>
      <c r="I8" s="68" t="str">
        <f t="shared" si="0"/>
        <v>080000</v>
      </c>
      <c r="J8" s="68" t="str">
        <f t="shared" si="1"/>
        <v>170000</v>
      </c>
      <c r="K8" s="67" t="str">
        <f t="shared" si="2"/>
        <v>000000</v>
      </c>
      <c r="L8" s="67">
        <f t="shared" si="3"/>
        <v>0</v>
      </c>
      <c r="M8" s="68" t="str">
        <f t="shared" si="4"/>
        <v>080000</v>
      </c>
      <c r="N8" s="68" t="str">
        <f t="shared" si="5"/>
        <v>170000</v>
      </c>
      <c r="O8" s="67" t="str">
        <f t="shared" si="6"/>
        <v>000000</v>
      </c>
      <c r="P8" s="67">
        <f t="shared" si="7"/>
        <v>0</v>
      </c>
      <c r="Q8" s="68" t="str">
        <f t="shared" si="8"/>
        <v>080000</v>
      </c>
      <c r="R8" s="68" t="str">
        <f t="shared" si="9"/>
        <v>170000</v>
      </c>
      <c r="S8" s="67" t="str">
        <f t="shared" si="10"/>
        <v>000000</v>
      </c>
      <c r="T8" s="67">
        <f t="shared" si="11"/>
        <v>0</v>
      </c>
      <c r="U8" s="68" t="str">
        <f t="shared" si="12"/>
        <v>080000</v>
      </c>
      <c r="V8" s="68" t="str">
        <f t="shared" si="13"/>
        <v>170000</v>
      </c>
      <c r="W8" s="67" t="str">
        <f t="shared" si="14"/>
        <v>000000</v>
      </c>
      <c r="X8" s="67">
        <f t="shared" si="15"/>
        <v>0</v>
      </c>
      <c r="Y8" s="68" t="str">
        <f t="shared" si="16"/>
        <v>080000</v>
      </c>
      <c r="Z8" s="68" t="str">
        <f t="shared" si="17"/>
        <v>170000</v>
      </c>
      <c r="AA8" s="67" t="str">
        <f t="shared" si="18"/>
        <v>000000</v>
      </c>
      <c r="AB8" s="67">
        <f t="shared" si="19"/>
        <v>0</v>
      </c>
      <c r="AC8" s="68" t="str">
        <f t="shared" si="20"/>
        <v>080000</v>
      </c>
      <c r="AD8" s="68" t="str">
        <f t="shared" si="21"/>
        <v>170000</v>
      </c>
      <c r="AE8" s="67" t="str">
        <f t="shared" si="22"/>
        <v>000000</v>
      </c>
      <c r="AF8" s="67">
        <f t="shared" si="23"/>
        <v>0</v>
      </c>
    </row>
    <row r="9" spans="1:32" x14ac:dyDescent="0.35">
      <c r="A9"/>
      <c r="B9" s="71" t="s">
        <v>466</v>
      </c>
      <c r="C9" s="70" t="s">
        <v>465</v>
      </c>
      <c r="D9" s="70" t="s">
        <v>464</v>
      </c>
      <c r="E9" s="69" t="s">
        <v>463</v>
      </c>
      <c r="F9" s="69" t="s">
        <v>462</v>
      </c>
      <c r="G9" s="67" t="s">
        <v>461</v>
      </c>
      <c r="H9" s="67">
        <v>0</v>
      </c>
      <c r="I9" s="68" t="str">
        <f t="shared" si="0"/>
        <v>080000</v>
      </c>
      <c r="J9" s="68" t="str">
        <f t="shared" si="1"/>
        <v>170000</v>
      </c>
      <c r="K9" s="67" t="str">
        <f t="shared" si="2"/>
        <v>000000</v>
      </c>
      <c r="L9" s="67">
        <f t="shared" si="3"/>
        <v>0</v>
      </c>
      <c r="M9" s="68" t="str">
        <f t="shared" si="4"/>
        <v>080000</v>
      </c>
      <c r="N9" s="68" t="str">
        <f t="shared" si="5"/>
        <v>170000</v>
      </c>
      <c r="O9" s="67" t="str">
        <f t="shared" si="6"/>
        <v>000000</v>
      </c>
      <c r="P9" s="67">
        <f t="shared" si="7"/>
        <v>0</v>
      </c>
      <c r="Q9" s="68" t="str">
        <f t="shared" si="8"/>
        <v>080000</v>
      </c>
      <c r="R9" s="68" t="str">
        <f t="shared" si="9"/>
        <v>170000</v>
      </c>
      <c r="S9" s="67" t="str">
        <f t="shared" si="10"/>
        <v>000000</v>
      </c>
      <c r="T9" s="67">
        <f t="shared" si="11"/>
        <v>0</v>
      </c>
      <c r="U9" s="68" t="str">
        <f t="shared" si="12"/>
        <v>080000</v>
      </c>
      <c r="V9" s="68" t="str">
        <f t="shared" si="13"/>
        <v>170000</v>
      </c>
      <c r="W9" s="67" t="str">
        <f t="shared" si="14"/>
        <v>000000</v>
      </c>
      <c r="X9" s="67">
        <f t="shared" si="15"/>
        <v>0</v>
      </c>
      <c r="Y9" s="68" t="str">
        <f t="shared" si="16"/>
        <v>080000</v>
      </c>
      <c r="Z9" s="68" t="str">
        <f t="shared" si="17"/>
        <v>170000</v>
      </c>
      <c r="AA9" s="67" t="str">
        <f t="shared" si="18"/>
        <v>000000</v>
      </c>
      <c r="AB9" s="67">
        <f t="shared" si="19"/>
        <v>0</v>
      </c>
      <c r="AC9" s="68" t="str">
        <f t="shared" si="20"/>
        <v>080000</v>
      </c>
      <c r="AD9" s="68" t="str">
        <f t="shared" si="21"/>
        <v>170000</v>
      </c>
      <c r="AE9" s="67" t="str">
        <f t="shared" si="22"/>
        <v>000000</v>
      </c>
      <c r="AF9" s="67">
        <f t="shared" si="23"/>
        <v>0</v>
      </c>
    </row>
    <row r="10" spans="1:32" x14ac:dyDescent="0.35">
      <c r="A10"/>
      <c r="B10" s="71" t="s">
        <v>466</v>
      </c>
      <c r="C10" s="70" t="s">
        <v>465</v>
      </c>
      <c r="D10" s="70" t="s">
        <v>464</v>
      </c>
      <c r="E10" s="69" t="s">
        <v>463</v>
      </c>
      <c r="F10" s="69" t="s">
        <v>462</v>
      </c>
      <c r="G10" s="67" t="s">
        <v>461</v>
      </c>
      <c r="H10" s="67">
        <v>0</v>
      </c>
      <c r="I10" s="68" t="str">
        <f t="shared" si="0"/>
        <v>080000</v>
      </c>
      <c r="J10" s="68" t="str">
        <f t="shared" si="1"/>
        <v>170000</v>
      </c>
      <c r="K10" s="67" t="str">
        <f t="shared" si="2"/>
        <v>000000</v>
      </c>
      <c r="L10" s="67">
        <f t="shared" si="3"/>
        <v>0</v>
      </c>
      <c r="M10" s="68" t="str">
        <f t="shared" si="4"/>
        <v>080000</v>
      </c>
      <c r="N10" s="68" t="str">
        <f t="shared" si="5"/>
        <v>170000</v>
      </c>
      <c r="O10" s="67" t="str">
        <f t="shared" si="6"/>
        <v>000000</v>
      </c>
      <c r="P10" s="67">
        <f t="shared" si="7"/>
        <v>0</v>
      </c>
      <c r="Q10" s="68" t="str">
        <f t="shared" si="8"/>
        <v>080000</v>
      </c>
      <c r="R10" s="68" t="str">
        <f t="shared" si="9"/>
        <v>170000</v>
      </c>
      <c r="S10" s="67" t="str">
        <f t="shared" si="10"/>
        <v>000000</v>
      </c>
      <c r="T10" s="67">
        <f t="shared" si="11"/>
        <v>0</v>
      </c>
      <c r="U10" s="68" t="str">
        <f t="shared" si="12"/>
        <v>080000</v>
      </c>
      <c r="V10" s="68" t="str">
        <f t="shared" si="13"/>
        <v>170000</v>
      </c>
      <c r="W10" s="67" t="str">
        <f t="shared" si="14"/>
        <v>000000</v>
      </c>
      <c r="X10" s="67">
        <f t="shared" si="15"/>
        <v>0</v>
      </c>
      <c r="Y10" s="68" t="str">
        <f t="shared" si="16"/>
        <v>080000</v>
      </c>
      <c r="Z10" s="68" t="str">
        <f t="shared" si="17"/>
        <v>170000</v>
      </c>
      <c r="AA10" s="67" t="str">
        <f t="shared" si="18"/>
        <v>000000</v>
      </c>
      <c r="AB10" s="67">
        <f t="shared" si="19"/>
        <v>0</v>
      </c>
      <c r="AC10" s="68" t="str">
        <f t="shared" si="20"/>
        <v>080000</v>
      </c>
      <c r="AD10" s="68" t="str">
        <f t="shared" si="21"/>
        <v>170000</v>
      </c>
      <c r="AE10" s="67" t="str">
        <f t="shared" si="22"/>
        <v>000000</v>
      </c>
      <c r="AF10" s="67">
        <f t="shared" si="23"/>
        <v>0</v>
      </c>
    </row>
    <row r="11" spans="1:32" x14ac:dyDescent="0.35">
      <c r="A11"/>
      <c r="B11" s="71" t="s">
        <v>466</v>
      </c>
      <c r="C11" s="70" t="s">
        <v>465</v>
      </c>
      <c r="D11" s="70" t="s">
        <v>464</v>
      </c>
      <c r="E11" s="69" t="s">
        <v>463</v>
      </c>
      <c r="F11" s="69" t="s">
        <v>462</v>
      </c>
      <c r="G11" s="67" t="s">
        <v>461</v>
      </c>
      <c r="H11" s="67">
        <v>0</v>
      </c>
      <c r="I11" s="68" t="str">
        <f t="shared" si="0"/>
        <v>080000</v>
      </c>
      <c r="J11" s="68" t="str">
        <f t="shared" si="1"/>
        <v>170000</v>
      </c>
      <c r="K11" s="67" t="str">
        <f t="shared" si="2"/>
        <v>000000</v>
      </c>
      <c r="L11" s="67">
        <f t="shared" si="3"/>
        <v>0</v>
      </c>
      <c r="M11" s="68" t="str">
        <f t="shared" si="4"/>
        <v>080000</v>
      </c>
      <c r="N11" s="68" t="str">
        <f t="shared" si="5"/>
        <v>170000</v>
      </c>
      <c r="O11" s="67" t="str">
        <f t="shared" si="6"/>
        <v>000000</v>
      </c>
      <c r="P11" s="67">
        <f t="shared" si="7"/>
        <v>0</v>
      </c>
      <c r="Q11" s="68" t="str">
        <f t="shared" si="8"/>
        <v>080000</v>
      </c>
      <c r="R11" s="68" t="str">
        <f t="shared" si="9"/>
        <v>170000</v>
      </c>
      <c r="S11" s="67" t="str">
        <f t="shared" si="10"/>
        <v>000000</v>
      </c>
      <c r="T11" s="67">
        <f t="shared" si="11"/>
        <v>0</v>
      </c>
      <c r="U11" s="68" t="str">
        <f t="shared" si="12"/>
        <v>080000</v>
      </c>
      <c r="V11" s="68" t="str">
        <f t="shared" si="13"/>
        <v>170000</v>
      </c>
      <c r="W11" s="67" t="str">
        <f t="shared" si="14"/>
        <v>000000</v>
      </c>
      <c r="X11" s="67">
        <f t="shared" si="15"/>
        <v>0</v>
      </c>
      <c r="Y11" s="68" t="str">
        <f t="shared" si="16"/>
        <v>080000</v>
      </c>
      <c r="Z11" s="68" t="str">
        <f t="shared" si="17"/>
        <v>170000</v>
      </c>
      <c r="AA11" s="67" t="str">
        <f t="shared" si="18"/>
        <v>000000</v>
      </c>
      <c r="AB11" s="67">
        <f t="shared" si="19"/>
        <v>0</v>
      </c>
      <c r="AC11" s="68" t="str">
        <f t="shared" si="20"/>
        <v>080000</v>
      </c>
      <c r="AD11" s="68" t="str">
        <f t="shared" si="21"/>
        <v>170000</v>
      </c>
      <c r="AE11" s="67" t="str">
        <f t="shared" si="22"/>
        <v>000000</v>
      </c>
      <c r="AF11" s="67">
        <f t="shared" si="23"/>
        <v>0</v>
      </c>
    </row>
    <row r="12" spans="1:32" x14ac:dyDescent="0.35">
      <c r="A12"/>
      <c r="B12" s="71" t="s">
        <v>466</v>
      </c>
      <c r="C12" s="70" t="s">
        <v>465</v>
      </c>
      <c r="D12" s="70" t="s">
        <v>464</v>
      </c>
      <c r="E12" s="69" t="s">
        <v>463</v>
      </c>
      <c r="F12" s="69" t="s">
        <v>462</v>
      </c>
      <c r="G12" s="67" t="s">
        <v>461</v>
      </c>
      <c r="H12" s="67">
        <v>0</v>
      </c>
      <c r="I12" s="68" t="str">
        <f t="shared" si="0"/>
        <v>080000</v>
      </c>
      <c r="J12" s="68" t="str">
        <f t="shared" si="1"/>
        <v>170000</v>
      </c>
      <c r="K12" s="67" t="str">
        <f t="shared" si="2"/>
        <v>000000</v>
      </c>
      <c r="L12" s="67">
        <f t="shared" si="3"/>
        <v>0</v>
      </c>
      <c r="M12" s="68" t="str">
        <f t="shared" si="4"/>
        <v>080000</v>
      </c>
      <c r="N12" s="68" t="str">
        <f t="shared" si="5"/>
        <v>170000</v>
      </c>
      <c r="O12" s="67" t="str">
        <f t="shared" si="6"/>
        <v>000000</v>
      </c>
      <c r="P12" s="67">
        <f t="shared" si="7"/>
        <v>0</v>
      </c>
      <c r="Q12" s="68" t="str">
        <f t="shared" si="8"/>
        <v>080000</v>
      </c>
      <c r="R12" s="68" t="str">
        <f t="shared" si="9"/>
        <v>170000</v>
      </c>
      <c r="S12" s="67" t="str">
        <f t="shared" si="10"/>
        <v>000000</v>
      </c>
      <c r="T12" s="67">
        <f t="shared" si="11"/>
        <v>0</v>
      </c>
      <c r="U12" s="68" t="str">
        <f t="shared" si="12"/>
        <v>080000</v>
      </c>
      <c r="V12" s="68" t="str">
        <f t="shared" si="13"/>
        <v>170000</v>
      </c>
      <c r="W12" s="67" t="str">
        <f t="shared" si="14"/>
        <v>000000</v>
      </c>
      <c r="X12" s="67">
        <f t="shared" si="15"/>
        <v>0</v>
      </c>
      <c r="Y12" s="68" t="str">
        <f t="shared" si="16"/>
        <v>080000</v>
      </c>
      <c r="Z12" s="68" t="str">
        <f t="shared" si="17"/>
        <v>170000</v>
      </c>
      <c r="AA12" s="67" t="str">
        <f t="shared" si="18"/>
        <v>000000</v>
      </c>
      <c r="AB12" s="67">
        <f t="shared" si="19"/>
        <v>0</v>
      </c>
      <c r="AC12" s="68" t="str">
        <f t="shared" si="20"/>
        <v>080000</v>
      </c>
      <c r="AD12" s="68" t="str">
        <f t="shared" si="21"/>
        <v>170000</v>
      </c>
      <c r="AE12" s="67" t="str">
        <f t="shared" si="22"/>
        <v>000000</v>
      </c>
      <c r="AF12" s="67">
        <f t="shared" si="23"/>
        <v>0</v>
      </c>
    </row>
    <row r="13" spans="1:32" x14ac:dyDescent="0.35">
      <c r="A13"/>
      <c r="B13" s="71" t="s">
        <v>466</v>
      </c>
      <c r="C13" s="70" t="s">
        <v>465</v>
      </c>
      <c r="D13" s="70" t="s">
        <v>464</v>
      </c>
      <c r="E13" s="69" t="s">
        <v>463</v>
      </c>
      <c r="F13" s="69" t="s">
        <v>462</v>
      </c>
      <c r="G13" s="67" t="s">
        <v>461</v>
      </c>
      <c r="H13" s="67">
        <v>0</v>
      </c>
      <c r="I13" s="68" t="str">
        <f t="shared" si="0"/>
        <v>080000</v>
      </c>
      <c r="J13" s="68" t="str">
        <f t="shared" si="1"/>
        <v>170000</v>
      </c>
      <c r="K13" s="67" t="str">
        <f t="shared" si="2"/>
        <v>000000</v>
      </c>
      <c r="L13" s="67">
        <f t="shared" si="3"/>
        <v>0</v>
      </c>
      <c r="M13" s="68" t="str">
        <f t="shared" si="4"/>
        <v>080000</v>
      </c>
      <c r="N13" s="68" t="str">
        <f t="shared" si="5"/>
        <v>170000</v>
      </c>
      <c r="O13" s="67" t="str">
        <f t="shared" si="6"/>
        <v>000000</v>
      </c>
      <c r="P13" s="67">
        <f t="shared" si="7"/>
        <v>0</v>
      </c>
      <c r="Q13" s="68" t="str">
        <f t="shared" si="8"/>
        <v>080000</v>
      </c>
      <c r="R13" s="68" t="str">
        <f t="shared" si="9"/>
        <v>170000</v>
      </c>
      <c r="S13" s="67" t="str">
        <f t="shared" si="10"/>
        <v>000000</v>
      </c>
      <c r="T13" s="67">
        <f t="shared" si="11"/>
        <v>0</v>
      </c>
      <c r="U13" s="68" t="str">
        <f t="shared" si="12"/>
        <v>080000</v>
      </c>
      <c r="V13" s="68" t="str">
        <f t="shared" si="13"/>
        <v>170000</v>
      </c>
      <c r="W13" s="67" t="str">
        <f t="shared" si="14"/>
        <v>000000</v>
      </c>
      <c r="X13" s="67">
        <f t="shared" si="15"/>
        <v>0</v>
      </c>
      <c r="Y13" s="68" t="str">
        <f t="shared" si="16"/>
        <v>080000</v>
      </c>
      <c r="Z13" s="68" t="str">
        <f t="shared" si="17"/>
        <v>170000</v>
      </c>
      <c r="AA13" s="67" t="str">
        <f t="shared" si="18"/>
        <v>000000</v>
      </c>
      <c r="AB13" s="67">
        <f t="shared" si="19"/>
        <v>0</v>
      </c>
      <c r="AC13" s="68" t="str">
        <f t="shared" si="20"/>
        <v>080000</v>
      </c>
      <c r="AD13" s="68" t="str">
        <f t="shared" si="21"/>
        <v>170000</v>
      </c>
      <c r="AE13" s="67" t="str">
        <f t="shared" si="22"/>
        <v>000000</v>
      </c>
      <c r="AF13" s="67">
        <f t="shared" si="23"/>
        <v>0</v>
      </c>
    </row>
    <row r="14" spans="1:32" x14ac:dyDescent="0.35">
      <c r="A14"/>
      <c r="B14" s="71" t="s">
        <v>466</v>
      </c>
      <c r="C14" s="70" t="s">
        <v>465</v>
      </c>
      <c r="D14" s="70" t="s">
        <v>464</v>
      </c>
      <c r="E14" s="69" t="s">
        <v>463</v>
      </c>
      <c r="F14" s="69" t="s">
        <v>462</v>
      </c>
      <c r="G14" s="67" t="s">
        <v>461</v>
      </c>
      <c r="H14" s="67">
        <v>0</v>
      </c>
      <c r="I14" s="68" t="str">
        <f t="shared" si="0"/>
        <v>080000</v>
      </c>
      <c r="J14" s="68" t="str">
        <f t="shared" si="1"/>
        <v>170000</v>
      </c>
      <c r="K14" s="67" t="str">
        <f t="shared" si="2"/>
        <v>000000</v>
      </c>
      <c r="L14" s="67">
        <f t="shared" si="3"/>
        <v>0</v>
      </c>
      <c r="M14" s="68" t="str">
        <f t="shared" si="4"/>
        <v>080000</v>
      </c>
      <c r="N14" s="68" t="str">
        <f t="shared" si="5"/>
        <v>170000</v>
      </c>
      <c r="O14" s="67" t="str">
        <f t="shared" si="6"/>
        <v>000000</v>
      </c>
      <c r="P14" s="67">
        <f t="shared" si="7"/>
        <v>0</v>
      </c>
      <c r="Q14" s="68" t="str">
        <f t="shared" si="8"/>
        <v>080000</v>
      </c>
      <c r="R14" s="68" t="str">
        <f t="shared" si="9"/>
        <v>170000</v>
      </c>
      <c r="S14" s="67" t="str">
        <f t="shared" si="10"/>
        <v>000000</v>
      </c>
      <c r="T14" s="67">
        <f t="shared" si="11"/>
        <v>0</v>
      </c>
      <c r="U14" s="68" t="str">
        <f t="shared" si="12"/>
        <v>080000</v>
      </c>
      <c r="V14" s="68" t="str">
        <f t="shared" si="13"/>
        <v>170000</v>
      </c>
      <c r="W14" s="67" t="str">
        <f t="shared" si="14"/>
        <v>000000</v>
      </c>
      <c r="X14" s="67">
        <f t="shared" si="15"/>
        <v>0</v>
      </c>
      <c r="Y14" s="68" t="str">
        <f t="shared" si="16"/>
        <v>080000</v>
      </c>
      <c r="Z14" s="68" t="str">
        <f t="shared" si="17"/>
        <v>170000</v>
      </c>
      <c r="AA14" s="67" t="str">
        <f t="shared" si="18"/>
        <v>000000</v>
      </c>
      <c r="AB14" s="67">
        <f t="shared" si="19"/>
        <v>0</v>
      </c>
      <c r="AC14" s="68" t="str">
        <f t="shared" si="20"/>
        <v>080000</v>
      </c>
      <c r="AD14" s="68" t="str">
        <f t="shared" si="21"/>
        <v>170000</v>
      </c>
      <c r="AE14" s="67" t="str">
        <f t="shared" si="22"/>
        <v>000000</v>
      </c>
      <c r="AF14" s="67">
        <f t="shared" si="23"/>
        <v>0</v>
      </c>
    </row>
    <row r="15" spans="1:32" x14ac:dyDescent="0.35">
      <c r="A15"/>
      <c r="B15" s="71" t="s">
        <v>466</v>
      </c>
      <c r="C15" s="70" t="s">
        <v>465</v>
      </c>
      <c r="D15" s="70" t="s">
        <v>464</v>
      </c>
      <c r="E15" s="69" t="s">
        <v>463</v>
      </c>
      <c r="F15" s="69" t="s">
        <v>462</v>
      </c>
      <c r="G15" s="67" t="s">
        <v>461</v>
      </c>
      <c r="H15" s="67">
        <v>0</v>
      </c>
      <c r="I15" s="68" t="str">
        <f t="shared" si="0"/>
        <v>080000</v>
      </c>
      <c r="J15" s="68" t="str">
        <f t="shared" si="1"/>
        <v>170000</v>
      </c>
      <c r="K15" s="67" t="str">
        <f t="shared" si="2"/>
        <v>000000</v>
      </c>
      <c r="L15" s="67">
        <f t="shared" si="3"/>
        <v>0</v>
      </c>
      <c r="M15" s="68" t="str">
        <f t="shared" si="4"/>
        <v>080000</v>
      </c>
      <c r="N15" s="68" t="str">
        <f t="shared" si="5"/>
        <v>170000</v>
      </c>
      <c r="O15" s="67" t="str">
        <f t="shared" si="6"/>
        <v>000000</v>
      </c>
      <c r="P15" s="67">
        <f t="shared" si="7"/>
        <v>0</v>
      </c>
      <c r="Q15" s="68" t="str">
        <f t="shared" si="8"/>
        <v>080000</v>
      </c>
      <c r="R15" s="68" t="str">
        <f t="shared" si="9"/>
        <v>170000</v>
      </c>
      <c r="S15" s="67" t="str">
        <f t="shared" si="10"/>
        <v>000000</v>
      </c>
      <c r="T15" s="67">
        <f t="shared" si="11"/>
        <v>0</v>
      </c>
      <c r="U15" s="68" t="str">
        <f t="shared" si="12"/>
        <v>080000</v>
      </c>
      <c r="V15" s="68" t="str">
        <f t="shared" si="13"/>
        <v>170000</v>
      </c>
      <c r="W15" s="67" t="str">
        <f t="shared" si="14"/>
        <v>000000</v>
      </c>
      <c r="X15" s="67">
        <f t="shared" si="15"/>
        <v>0</v>
      </c>
      <c r="Y15" s="68" t="str">
        <f t="shared" si="16"/>
        <v>080000</v>
      </c>
      <c r="Z15" s="68" t="str">
        <f t="shared" si="17"/>
        <v>170000</v>
      </c>
      <c r="AA15" s="67" t="str">
        <f t="shared" si="18"/>
        <v>000000</v>
      </c>
      <c r="AB15" s="67">
        <f t="shared" si="19"/>
        <v>0</v>
      </c>
      <c r="AC15" s="68" t="str">
        <f t="shared" si="20"/>
        <v>080000</v>
      </c>
      <c r="AD15" s="68" t="str">
        <f t="shared" si="21"/>
        <v>170000</v>
      </c>
      <c r="AE15" s="67" t="str">
        <f t="shared" si="22"/>
        <v>000000</v>
      </c>
      <c r="AF15" s="67">
        <f t="shared" si="23"/>
        <v>0</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CB031-2809-465E-A891-E9DD7746D8D0}">
  <sheetPr>
    <tabColor theme="2" tint="0.39997558519241921"/>
  </sheetPr>
  <dimension ref="A1:A63"/>
  <sheetViews>
    <sheetView workbookViewId="0">
      <selection activeCell="K19" activeCellId="1" sqref="F1:F20 K19"/>
    </sheetView>
  </sheetViews>
  <sheetFormatPr defaultRowHeight="14.5" x14ac:dyDescent="0.35"/>
  <cols>
    <col min="1" max="1" width="81.7265625" style="92" customWidth="1"/>
  </cols>
  <sheetData>
    <row r="1" spans="1:1" x14ac:dyDescent="0.35">
      <c r="A1" s="92" t="s">
        <v>533</v>
      </c>
    </row>
    <row r="18" spans="1:1" ht="29" x14ac:dyDescent="0.35">
      <c r="A18" s="92" t="s">
        <v>532</v>
      </c>
    </row>
    <row r="30" spans="1:1" ht="29" x14ac:dyDescent="0.35">
      <c r="A30" s="92" t="s">
        <v>531</v>
      </c>
    </row>
    <row r="44" spans="1:1" ht="43.5" x14ac:dyDescent="0.35">
      <c r="A44" s="92" t="s">
        <v>530</v>
      </c>
    </row>
    <row r="63" spans="1:1" ht="29" x14ac:dyDescent="0.35">
      <c r="A63" s="92" t="s">
        <v>529</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6A528-2579-43A7-B8AA-C92DD18C6190}">
  <sheetPr>
    <tabColor theme="6" tint="0.59999389629810485"/>
  </sheetPr>
  <dimension ref="B1:B23"/>
  <sheetViews>
    <sheetView zoomScale="130" zoomScaleNormal="130" workbookViewId="0">
      <selection activeCell="A7" sqref="A7"/>
    </sheetView>
  </sheetViews>
  <sheetFormatPr defaultRowHeight="14.5" x14ac:dyDescent="0.35"/>
  <cols>
    <col min="2" max="2" width="72.1796875" bestFit="1" customWidth="1"/>
  </cols>
  <sheetData>
    <row r="1" spans="2:2" x14ac:dyDescent="0.35">
      <c r="B1" s="91" t="s">
        <v>526</v>
      </c>
    </row>
    <row r="2" spans="2:2" x14ac:dyDescent="0.35">
      <c r="B2" t="s">
        <v>162</v>
      </c>
    </row>
    <row r="3" spans="2:2" ht="23.5" customHeight="1" x14ac:dyDescent="0.35">
      <c r="B3" t="s">
        <v>162</v>
      </c>
    </row>
    <row r="4" spans="2:2" x14ac:dyDescent="0.35">
      <c r="B4" t="s">
        <v>162</v>
      </c>
    </row>
    <row r="5" spans="2:2" x14ac:dyDescent="0.35">
      <c r="B5" t="s">
        <v>162</v>
      </c>
    </row>
    <row r="6" spans="2:2" x14ac:dyDescent="0.35">
      <c r="B6" t="s">
        <v>162</v>
      </c>
    </row>
    <row r="7" spans="2:2" x14ac:dyDescent="0.35">
      <c r="B7" t="s">
        <v>162</v>
      </c>
    </row>
    <row r="8" spans="2:2" x14ac:dyDescent="0.35">
      <c r="B8" t="s">
        <v>162</v>
      </c>
    </row>
    <row r="9" spans="2:2" x14ac:dyDescent="0.35">
      <c r="B9" t="s">
        <v>162</v>
      </c>
    </row>
    <row r="10" spans="2:2" x14ac:dyDescent="0.35">
      <c r="B10" t="s">
        <v>162</v>
      </c>
    </row>
    <row r="11" spans="2:2" x14ac:dyDescent="0.35">
      <c r="B11" t="s">
        <v>162</v>
      </c>
    </row>
    <row r="12" spans="2:2" x14ac:dyDescent="0.35">
      <c r="B12" t="s">
        <v>162</v>
      </c>
    </row>
    <row r="13" spans="2:2" x14ac:dyDescent="0.35">
      <c r="B13" t="s">
        <v>162</v>
      </c>
    </row>
    <row r="15" spans="2:2" x14ac:dyDescent="0.35">
      <c r="B15" s="91" t="s">
        <v>525</v>
      </c>
    </row>
    <row r="17" spans="2:2" x14ac:dyDescent="0.35">
      <c r="B17" t="s">
        <v>162</v>
      </c>
    </row>
    <row r="18" spans="2:2" x14ac:dyDescent="0.35">
      <c r="B18" t="s">
        <v>162</v>
      </c>
    </row>
    <row r="19" spans="2:2" x14ac:dyDescent="0.35">
      <c r="B19" t="s">
        <v>162</v>
      </c>
    </row>
    <row r="20" spans="2:2" x14ac:dyDescent="0.35">
      <c r="B20" t="s">
        <v>162</v>
      </c>
    </row>
    <row r="21" spans="2:2" x14ac:dyDescent="0.35">
      <c r="B21" t="s">
        <v>162</v>
      </c>
    </row>
    <row r="22" spans="2:2" x14ac:dyDescent="0.35">
      <c r="B22" t="s">
        <v>162</v>
      </c>
    </row>
    <row r="23" spans="2:2" x14ac:dyDescent="0.35">
      <c r="B23" t="s">
        <v>162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defaultSize="0" autoFill="0" autoLine="0" autoPict="0">
                <anchor moveWithCells="1">
                  <from>
                    <xdr:col>0</xdr:col>
                    <xdr:colOff>571500</xdr:colOff>
                    <xdr:row>0</xdr:row>
                    <xdr:rowOff>158750</xdr:rowOff>
                  </from>
                  <to>
                    <xdr:col>1</xdr:col>
                    <xdr:colOff>3683000</xdr:colOff>
                    <xdr:row>2</xdr:row>
                    <xdr:rowOff>50800</xdr:rowOff>
                  </to>
                </anchor>
              </controlPr>
            </control>
          </mc:Choice>
        </mc:AlternateContent>
        <mc:AlternateContent xmlns:mc="http://schemas.openxmlformats.org/markup-compatibility/2006">
          <mc:Choice Requires="x14">
            <control shapeId="20482" r:id="rId5" name="Check Box 2">
              <controlPr defaultSize="0" autoFill="0" autoLine="0" autoPict="0">
                <anchor moveWithCells="1">
                  <from>
                    <xdr:col>0</xdr:col>
                    <xdr:colOff>571500</xdr:colOff>
                    <xdr:row>1</xdr:row>
                    <xdr:rowOff>127000</xdr:rowOff>
                  </from>
                  <to>
                    <xdr:col>1</xdr:col>
                    <xdr:colOff>4851400</xdr:colOff>
                    <xdr:row>3</xdr:row>
                    <xdr:rowOff>44450</xdr:rowOff>
                  </to>
                </anchor>
              </controlPr>
            </control>
          </mc:Choice>
        </mc:AlternateContent>
        <mc:AlternateContent xmlns:mc="http://schemas.openxmlformats.org/markup-compatibility/2006">
          <mc:Choice Requires="x14">
            <control shapeId="20483" r:id="rId6" name="Check Box 3">
              <controlPr defaultSize="0" autoFill="0" autoLine="0" autoPict="0">
                <anchor moveWithCells="1">
                  <from>
                    <xdr:col>0</xdr:col>
                    <xdr:colOff>571500</xdr:colOff>
                    <xdr:row>4</xdr:row>
                    <xdr:rowOff>152400</xdr:rowOff>
                  </from>
                  <to>
                    <xdr:col>1</xdr:col>
                    <xdr:colOff>2254250</xdr:colOff>
                    <xdr:row>6</xdr:row>
                    <xdr:rowOff>38100</xdr:rowOff>
                  </to>
                </anchor>
              </controlPr>
            </control>
          </mc:Choice>
        </mc:AlternateContent>
        <mc:AlternateContent xmlns:mc="http://schemas.openxmlformats.org/markup-compatibility/2006">
          <mc:Choice Requires="x14">
            <control shapeId="20484" r:id="rId7" name="Check Box 4">
              <controlPr defaultSize="0" autoFill="0" autoLine="0" autoPict="0">
                <anchor moveWithCells="1">
                  <from>
                    <xdr:col>0</xdr:col>
                    <xdr:colOff>565150</xdr:colOff>
                    <xdr:row>8</xdr:row>
                    <xdr:rowOff>19050</xdr:rowOff>
                  </from>
                  <to>
                    <xdr:col>1</xdr:col>
                    <xdr:colOff>901700</xdr:colOff>
                    <xdr:row>8</xdr:row>
                    <xdr:rowOff>171450</xdr:rowOff>
                  </to>
                </anchor>
              </controlPr>
            </control>
          </mc:Choice>
        </mc:AlternateContent>
        <mc:AlternateContent xmlns:mc="http://schemas.openxmlformats.org/markup-compatibility/2006">
          <mc:Choice Requires="x14">
            <control shapeId="20485" r:id="rId8" name="Check Box 5">
              <controlPr defaultSize="0" autoFill="0" autoLine="0" autoPict="0">
                <anchor moveWithCells="1">
                  <from>
                    <xdr:col>0</xdr:col>
                    <xdr:colOff>571500</xdr:colOff>
                    <xdr:row>15</xdr:row>
                    <xdr:rowOff>171450</xdr:rowOff>
                  </from>
                  <to>
                    <xdr:col>1</xdr:col>
                    <xdr:colOff>1657350</xdr:colOff>
                    <xdr:row>17</xdr:row>
                    <xdr:rowOff>19050</xdr:rowOff>
                  </to>
                </anchor>
              </controlPr>
            </control>
          </mc:Choice>
        </mc:AlternateContent>
        <mc:AlternateContent xmlns:mc="http://schemas.openxmlformats.org/markup-compatibility/2006">
          <mc:Choice Requires="x14">
            <control shapeId="20486" r:id="rId9" name="Check Box 6">
              <controlPr defaultSize="0" autoFill="0" autoLine="0" autoPict="0">
                <anchor moveWithCells="1">
                  <from>
                    <xdr:col>0</xdr:col>
                    <xdr:colOff>571500</xdr:colOff>
                    <xdr:row>5</xdr:row>
                    <xdr:rowOff>171450</xdr:rowOff>
                  </from>
                  <to>
                    <xdr:col>1</xdr:col>
                    <xdr:colOff>692150</xdr:colOff>
                    <xdr:row>7</xdr:row>
                    <xdr:rowOff>19050</xdr:rowOff>
                  </to>
                </anchor>
              </controlPr>
            </control>
          </mc:Choice>
        </mc:AlternateContent>
        <mc:AlternateContent xmlns:mc="http://schemas.openxmlformats.org/markup-compatibility/2006">
          <mc:Choice Requires="x14">
            <control shapeId="20490" r:id="rId10" name="Check Box 10">
              <controlPr defaultSize="0" autoFill="0" autoLine="0" autoPict="0">
                <anchor moveWithCells="1">
                  <from>
                    <xdr:col>0</xdr:col>
                    <xdr:colOff>571500</xdr:colOff>
                    <xdr:row>8</xdr:row>
                    <xdr:rowOff>165100</xdr:rowOff>
                  </from>
                  <to>
                    <xdr:col>1</xdr:col>
                    <xdr:colOff>2717800</xdr:colOff>
                    <xdr:row>10</xdr:row>
                    <xdr:rowOff>12700</xdr:rowOff>
                  </to>
                </anchor>
              </controlPr>
            </control>
          </mc:Choice>
        </mc:AlternateContent>
        <mc:AlternateContent xmlns:mc="http://schemas.openxmlformats.org/markup-compatibility/2006">
          <mc:Choice Requires="x14">
            <control shapeId="20491" r:id="rId11" name="Check Box 11">
              <controlPr defaultSize="0" autoFill="0" autoLine="0" autoPict="0">
                <anchor moveWithCells="1">
                  <from>
                    <xdr:col>0</xdr:col>
                    <xdr:colOff>571500</xdr:colOff>
                    <xdr:row>6</xdr:row>
                    <xdr:rowOff>171450</xdr:rowOff>
                  </from>
                  <to>
                    <xdr:col>1</xdr:col>
                    <xdr:colOff>749300</xdr:colOff>
                    <xdr:row>8</xdr:row>
                    <xdr:rowOff>19050</xdr:rowOff>
                  </to>
                </anchor>
              </controlPr>
            </control>
          </mc:Choice>
        </mc:AlternateContent>
        <mc:AlternateContent xmlns:mc="http://schemas.openxmlformats.org/markup-compatibility/2006">
          <mc:Choice Requires="x14">
            <control shapeId="20492" r:id="rId12" name="Check Box 12">
              <controlPr defaultSize="0" autoFill="0" autoLine="0" autoPict="0">
                <anchor moveWithCells="1">
                  <from>
                    <xdr:col>0</xdr:col>
                    <xdr:colOff>565150</xdr:colOff>
                    <xdr:row>3</xdr:row>
                    <xdr:rowOff>139700</xdr:rowOff>
                  </from>
                  <to>
                    <xdr:col>1</xdr:col>
                    <xdr:colOff>4152900</xdr:colOff>
                    <xdr:row>5</xdr:row>
                    <xdr:rowOff>50800</xdr:rowOff>
                  </to>
                </anchor>
              </controlPr>
            </control>
          </mc:Choice>
        </mc:AlternateContent>
        <mc:AlternateContent xmlns:mc="http://schemas.openxmlformats.org/markup-compatibility/2006">
          <mc:Choice Requires="x14">
            <control shapeId="20494" r:id="rId13" name="Check Box 14">
              <controlPr defaultSize="0" autoFill="0" autoLine="0" autoPict="0">
                <anchor moveWithCells="1">
                  <from>
                    <xdr:col>0</xdr:col>
                    <xdr:colOff>571500</xdr:colOff>
                    <xdr:row>2</xdr:row>
                    <xdr:rowOff>247650</xdr:rowOff>
                  </from>
                  <to>
                    <xdr:col>1</xdr:col>
                    <xdr:colOff>3454400</xdr:colOff>
                    <xdr:row>4</xdr:row>
                    <xdr:rowOff>44450</xdr:rowOff>
                  </to>
                </anchor>
              </controlPr>
            </control>
          </mc:Choice>
        </mc:AlternateContent>
        <mc:AlternateContent xmlns:mc="http://schemas.openxmlformats.org/markup-compatibility/2006">
          <mc:Choice Requires="x14">
            <control shapeId="20497" r:id="rId14" name="Check Box 17">
              <controlPr defaultSize="0" autoFill="0" autoLine="0" autoPict="0">
                <anchor moveWithCells="1">
                  <from>
                    <xdr:col>0</xdr:col>
                    <xdr:colOff>571500</xdr:colOff>
                    <xdr:row>14</xdr:row>
                    <xdr:rowOff>171450</xdr:rowOff>
                  </from>
                  <to>
                    <xdr:col>1</xdr:col>
                    <xdr:colOff>2266950</xdr:colOff>
                    <xdr:row>16</xdr:row>
                    <xdr:rowOff>19050</xdr:rowOff>
                  </to>
                </anchor>
              </controlPr>
            </control>
          </mc:Choice>
        </mc:AlternateContent>
        <mc:AlternateContent xmlns:mc="http://schemas.openxmlformats.org/markup-compatibility/2006">
          <mc:Choice Requires="x14">
            <control shapeId="20488" r:id="rId15" name="Check Box 8">
              <controlPr defaultSize="0" autoFill="0" autoLine="0" autoPict="0">
                <anchor moveWithCells="1">
                  <from>
                    <xdr:col>0</xdr:col>
                    <xdr:colOff>571500</xdr:colOff>
                    <xdr:row>17</xdr:row>
                    <xdr:rowOff>177800</xdr:rowOff>
                  </from>
                  <to>
                    <xdr:col>1</xdr:col>
                    <xdr:colOff>1409700</xdr:colOff>
                    <xdr:row>19</xdr:row>
                    <xdr:rowOff>25400</xdr:rowOff>
                  </to>
                </anchor>
              </controlPr>
            </control>
          </mc:Choice>
        </mc:AlternateContent>
        <mc:AlternateContent xmlns:mc="http://schemas.openxmlformats.org/markup-compatibility/2006">
          <mc:Choice Requires="x14">
            <control shapeId="20496" r:id="rId16" name="Check Box 16">
              <controlPr defaultSize="0" autoFill="0" autoLine="0" autoPict="0">
                <anchor moveWithCells="1">
                  <from>
                    <xdr:col>0</xdr:col>
                    <xdr:colOff>571500</xdr:colOff>
                    <xdr:row>16</xdr:row>
                    <xdr:rowOff>171450</xdr:rowOff>
                  </from>
                  <to>
                    <xdr:col>1</xdr:col>
                    <xdr:colOff>1873250</xdr:colOff>
                    <xdr:row>18</xdr:row>
                    <xdr:rowOff>19050</xdr:rowOff>
                  </to>
                </anchor>
              </controlPr>
            </control>
          </mc:Choice>
        </mc:AlternateContent>
        <mc:AlternateContent xmlns:mc="http://schemas.openxmlformats.org/markup-compatibility/2006">
          <mc:Choice Requires="x14">
            <control shapeId="20499" r:id="rId17" name="Check Box 19">
              <controlPr defaultSize="0" autoFill="0" autoLine="0" autoPict="0">
                <anchor moveWithCells="1">
                  <from>
                    <xdr:col>0</xdr:col>
                    <xdr:colOff>571500</xdr:colOff>
                    <xdr:row>18</xdr:row>
                    <xdr:rowOff>177800</xdr:rowOff>
                  </from>
                  <to>
                    <xdr:col>1</xdr:col>
                    <xdr:colOff>3124200</xdr:colOff>
                    <xdr:row>20</xdr:row>
                    <xdr:rowOff>25400</xdr:rowOff>
                  </to>
                </anchor>
              </controlPr>
            </control>
          </mc:Choice>
        </mc:AlternateContent>
        <mc:AlternateContent xmlns:mc="http://schemas.openxmlformats.org/markup-compatibility/2006">
          <mc:Choice Requires="x14">
            <control shapeId="20487" r:id="rId18" name="Check Box 7">
              <controlPr defaultSize="0" autoFill="0" autoLine="0" autoPict="0">
                <anchor moveWithCells="1">
                  <from>
                    <xdr:col>0</xdr:col>
                    <xdr:colOff>571500</xdr:colOff>
                    <xdr:row>10</xdr:row>
                    <xdr:rowOff>165100</xdr:rowOff>
                  </from>
                  <to>
                    <xdr:col>1</xdr:col>
                    <xdr:colOff>3009900</xdr:colOff>
                    <xdr:row>12</xdr:row>
                    <xdr:rowOff>12700</xdr:rowOff>
                  </to>
                </anchor>
              </controlPr>
            </control>
          </mc:Choice>
        </mc:AlternateContent>
        <mc:AlternateContent xmlns:mc="http://schemas.openxmlformats.org/markup-compatibility/2006">
          <mc:Choice Requires="x14">
            <control shapeId="20493" r:id="rId19" name="Check Box 13">
              <controlPr defaultSize="0" autoFill="0" autoLine="0" autoPict="0">
                <anchor moveWithCells="1">
                  <from>
                    <xdr:col>0</xdr:col>
                    <xdr:colOff>571500</xdr:colOff>
                    <xdr:row>9</xdr:row>
                    <xdr:rowOff>171450</xdr:rowOff>
                  </from>
                  <to>
                    <xdr:col>1</xdr:col>
                    <xdr:colOff>1905000</xdr:colOff>
                    <xdr:row>11</xdr:row>
                    <xdr:rowOff>19050</xdr:rowOff>
                  </to>
                </anchor>
              </controlPr>
            </control>
          </mc:Choice>
        </mc:AlternateContent>
        <mc:AlternateContent xmlns:mc="http://schemas.openxmlformats.org/markup-compatibility/2006">
          <mc:Choice Requires="x14">
            <control shapeId="20500" r:id="rId20" name="Check Box 20">
              <controlPr defaultSize="0" autoFill="0" autoLine="0" autoPict="0">
                <anchor moveWithCells="1">
                  <from>
                    <xdr:col>0</xdr:col>
                    <xdr:colOff>571500</xdr:colOff>
                    <xdr:row>11</xdr:row>
                    <xdr:rowOff>165100</xdr:rowOff>
                  </from>
                  <to>
                    <xdr:col>1</xdr:col>
                    <xdr:colOff>3009900</xdr:colOff>
                    <xdr:row>13</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824CC-D89A-473B-B122-9F2E274B4B03}">
  <sheetPr>
    <tabColor theme="5" tint="-0.249977111117893"/>
  </sheetPr>
  <dimension ref="A1:F21"/>
  <sheetViews>
    <sheetView workbookViewId="0">
      <selection activeCell="H11" sqref="H11"/>
    </sheetView>
  </sheetViews>
  <sheetFormatPr defaultColWidth="13.453125" defaultRowHeight="14.5" x14ac:dyDescent="0.35"/>
  <cols>
    <col min="1" max="1" width="14.90625" style="10" bestFit="1" customWidth="1"/>
    <col min="2" max="2" width="10.54296875" style="10" bestFit="1" customWidth="1"/>
    <col min="3" max="3" width="14" style="2" bestFit="1" customWidth="1"/>
    <col min="4" max="4" width="5.90625" style="2" bestFit="1" customWidth="1"/>
    <col min="5" max="5" width="14.26953125" style="10" bestFit="1" customWidth="1"/>
    <col min="6" max="6" width="7.81640625" style="10" bestFit="1" customWidth="1"/>
    <col min="7" max="16384" width="13.453125" style="10"/>
  </cols>
  <sheetData>
    <row r="1" spans="1:6" x14ac:dyDescent="0.35">
      <c r="A1" s="64" t="s">
        <v>225</v>
      </c>
      <c r="B1" s="64" t="s">
        <v>222</v>
      </c>
      <c r="C1" s="64" t="s">
        <v>223</v>
      </c>
      <c r="D1" s="64" t="s">
        <v>224</v>
      </c>
      <c r="E1" s="64" t="s">
        <v>194</v>
      </c>
      <c r="F1" s="64" t="s">
        <v>460</v>
      </c>
    </row>
    <row r="2" spans="1:6" x14ac:dyDescent="0.35">
      <c r="A2" s="65" t="s">
        <v>440</v>
      </c>
      <c r="B2" s="1" t="s">
        <v>395</v>
      </c>
      <c r="C2" s="65" t="s">
        <v>328</v>
      </c>
      <c r="D2" s="65" t="s">
        <v>330</v>
      </c>
      <c r="E2" s="65" t="s">
        <v>327</v>
      </c>
      <c r="F2" s="65" t="s">
        <v>332</v>
      </c>
    </row>
    <row r="3" spans="1:6" x14ac:dyDescent="0.35">
      <c r="A3" s="65" t="s">
        <v>441</v>
      </c>
      <c r="B3" s="1" t="s">
        <v>396</v>
      </c>
      <c r="C3" s="65" t="s">
        <v>341</v>
      </c>
      <c r="D3" s="65" t="s">
        <v>330</v>
      </c>
      <c r="E3" s="65" t="s">
        <v>340</v>
      </c>
      <c r="F3" s="65" t="s">
        <v>342</v>
      </c>
    </row>
    <row r="4" spans="1:6" x14ac:dyDescent="0.35">
      <c r="A4" s="65" t="s">
        <v>442</v>
      </c>
      <c r="B4" s="1" t="s">
        <v>397</v>
      </c>
      <c r="C4" s="65" t="s">
        <v>344</v>
      </c>
      <c r="D4" s="65" t="s">
        <v>330</v>
      </c>
      <c r="E4" s="65" t="s">
        <v>343</v>
      </c>
      <c r="F4" s="65" t="s">
        <v>345</v>
      </c>
    </row>
    <row r="5" spans="1:6" x14ac:dyDescent="0.35">
      <c r="A5" s="65" t="s">
        <v>443</v>
      </c>
      <c r="B5" s="1" t="s">
        <v>398</v>
      </c>
      <c r="C5" s="65" t="s">
        <v>347</v>
      </c>
      <c r="D5" s="65" t="s">
        <v>330</v>
      </c>
      <c r="E5" s="65" t="s">
        <v>346</v>
      </c>
      <c r="F5" s="65" t="s">
        <v>348</v>
      </c>
    </row>
    <row r="6" spans="1:6" x14ac:dyDescent="0.35">
      <c r="A6" s="65" t="s">
        <v>444</v>
      </c>
      <c r="B6" s="1" t="s">
        <v>399</v>
      </c>
      <c r="C6" s="65" t="s">
        <v>350</v>
      </c>
      <c r="D6" s="65" t="s">
        <v>190</v>
      </c>
      <c r="E6" s="65" t="s">
        <v>349</v>
      </c>
      <c r="F6" s="65" t="s">
        <v>351</v>
      </c>
    </row>
    <row r="7" spans="1:6" x14ac:dyDescent="0.35">
      <c r="A7" s="65" t="s">
        <v>445</v>
      </c>
      <c r="B7" s="1" t="s">
        <v>400</v>
      </c>
      <c r="C7" s="65" t="s">
        <v>353</v>
      </c>
      <c r="D7" s="65" t="s">
        <v>190</v>
      </c>
      <c r="E7" s="65" t="s">
        <v>352</v>
      </c>
      <c r="F7" s="65" t="s">
        <v>354</v>
      </c>
    </row>
    <row r="8" spans="1:6" x14ac:dyDescent="0.35">
      <c r="A8" s="65" t="s">
        <v>446</v>
      </c>
      <c r="B8" s="1" t="s">
        <v>401</v>
      </c>
      <c r="C8" s="65" t="s">
        <v>356</v>
      </c>
      <c r="D8" s="65" t="s">
        <v>190</v>
      </c>
      <c r="E8" s="65" t="s">
        <v>355</v>
      </c>
      <c r="F8" s="65" t="s">
        <v>357</v>
      </c>
    </row>
    <row r="9" spans="1:6" x14ac:dyDescent="0.35">
      <c r="A9" s="65" t="s">
        <v>447</v>
      </c>
      <c r="B9" s="1" t="s">
        <v>402</v>
      </c>
      <c r="C9" s="65" t="s">
        <v>350</v>
      </c>
      <c r="D9" s="65" t="s">
        <v>190</v>
      </c>
      <c r="E9" s="65" t="s">
        <v>358</v>
      </c>
      <c r="F9" s="65" t="s">
        <v>359</v>
      </c>
    </row>
    <row r="10" spans="1:6" x14ac:dyDescent="0.35">
      <c r="A10" s="65" t="s">
        <v>448</v>
      </c>
      <c r="B10" s="1" t="s">
        <v>403</v>
      </c>
      <c r="C10" s="65" t="s">
        <v>361</v>
      </c>
      <c r="D10" s="65" t="s">
        <v>190</v>
      </c>
      <c r="E10" s="65" t="s">
        <v>360</v>
      </c>
      <c r="F10" s="65" t="s">
        <v>362</v>
      </c>
    </row>
    <row r="11" spans="1:6" x14ac:dyDescent="0.35">
      <c r="A11" s="65" t="s">
        <v>449</v>
      </c>
      <c r="B11" s="1" t="s">
        <v>404</v>
      </c>
      <c r="C11" s="65" t="s">
        <v>364</v>
      </c>
      <c r="D11" s="65" t="s">
        <v>190</v>
      </c>
      <c r="E11" s="65" t="s">
        <v>363</v>
      </c>
      <c r="F11" s="65" t="s">
        <v>365</v>
      </c>
    </row>
    <row r="12" spans="1:6" x14ac:dyDescent="0.35">
      <c r="A12" s="65" t="s">
        <v>450</v>
      </c>
      <c r="B12" s="1" t="s">
        <v>405</v>
      </c>
      <c r="C12" s="65" t="s">
        <v>367</v>
      </c>
      <c r="D12" s="65" t="s">
        <v>330</v>
      </c>
      <c r="E12" s="65" t="s">
        <v>366</v>
      </c>
      <c r="F12" s="65" t="s">
        <v>368</v>
      </c>
    </row>
    <row r="13" spans="1:6" x14ac:dyDescent="0.35">
      <c r="A13" s="65" t="s">
        <v>451</v>
      </c>
      <c r="B13" s="1" t="s">
        <v>406</v>
      </c>
      <c r="C13" s="65" t="s">
        <v>370</v>
      </c>
      <c r="D13" s="65" t="s">
        <v>330</v>
      </c>
      <c r="E13" s="65" t="s">
        <v>369</v>
      </c>
      <c r="F13" s="65" t="s">
        <v>371</v>
      </c>
    </row>
    <row r="14" spans="1:6" x14ac:dyDescent="0.35">
      <c r="A14" s="65" t="s">
        <v>452</v>
      </c>
      <c r="B14" s="1" t="s">
        <v>407</v>
      </c>
      <c r="C14" s="65" t="s">
        <v>373</v>
      </c>
      <c r="D14" s="65" t="s">
        <v>330</v>
      </c>
      <c r="E14" s="65" t="s">
        <v>372</v>
      </c>
      <c r="F14" s="65" t="s">
        <v>374</v>
      </c>
    </row>
    <row r="15" spans="1:6" x14ac:dyDescent="0.35">
      <c r="A15" s="65" t="s">
        <v>453</v>
      </c>
      <c r="B15" s="1" t="s">
        <v>408</v>
      </c>
      <c r="C15" s="65" t="s">
        <v>376</v>
      </c>
      <c r="D15" s="65" t="s">
        <v>330</v>
      </c>
      <c r="E15" s="65" t="s">
        <v>375</v>
      </c>
      <c r="F15" s="65" t="s">
        <v>377</v>
      </c>
    </row>
    <row r="16" spans="1:6" x14ac:dyDescent="0.35">
      <c r="A16" s="65" t="s">
        <v>454</v>
      </c>
      <c r="B16" s="1" t="s">
        <v>409</v>
      </c>
      <c r="C16" s="65" t="s">
        <v>367</v>
      </c>
      <c r="D16" s="65" t="s">
        <v>330</v>
      </c>
      <c r="E16" s="65" t="s">
        <v>378</v>
      </c>
      <c r="F16" s="65" t="s">
        <v>379</v>
      </c>
    </row>
    <row r="17" spans="1:6" x14ac:dyDescent="0.35">
      <c r="A17" s="65" t="s">
        <v>455</v>
      </c>
      <c r="B17" s="1" t="s">
        <v>410</v>
      </c>
      <c r="C17" s="65" t="s">
        <v>381</v>
      </c>
      <c r="D17" s="65" t="s">
        <v>330</v>
      </c>
      <c r="E17" s="65" t="s">
        <v>380</v>
      </c>
      <c r="F17" s="65" t="s">
        <v>382</v>
      </c>
    </row>
    <row r="18" spans="1:6" x14ac:dyDescent="0.35">
      <c r="A18" s="65" t="s">
        <v>456</v>
      </c>
      <c r="B18" s="1" t="s">
        <v>411</v>
      </c>
      <c r="C18" s="65" t="s">
        <v>391</v>
      </c>
      <c r="D18" s="65" t="s">
        <v>330</v>
      </c>
      <c r="E18" s="65" t="s">
        <v>390</v>
      </c>
      <c r="F18" s="65" t="s">
        <v>392</v>
      </c>
    </row>
    <row r="19" spans="1:6" x14ac:dyDescent="0.35">
      <c r="A19" s="65" t="s">
        <v>457</v>
      </c>
      <c r="B19" s="1" t="s">
        <v>412</v>
      </c>
      <c r="C19" s="65" t="s">
        <v>367</v>
      </c>
      <c r="D19" s="65" t="s">
        <v>330</v>
      </c>
      <c r="E19" s="65" t="s">
        <v>383</v>
      </c>
      <c r="F19" s="65" t="s">
        <v>384</v>
      </c>
    </row>
    <row r="20" spans="1:6" x14ac:dyDescent="0.35">
      <c r="A20" s="65" t="s">
        <v>458</v>
      </c>
      <c r="B20" s="1" t="s">
        <v>413</v>
      </c>
      <c r="C20" s="65" t="s">
        <v>386</v>
      </c>
      <c r="D20" s="65" t="s">
        <v>330</v>
      </c>
      <c r="E20" s="65" t="s">
        <v>385</v>
      </c>
      <c r="F20" s="65" t="s">
        <v>387</v>
      </c>
    </row>
    <row r="21" spans="1:6" x14ac:dyDescent="0.35">
      <c r="A21" s="65" t="s">
        <v>459</v>
      </c>
      <c r="B21" s="1" t="s">
        <v>414</v>
      </c>
      <c r="C21" s="65" t="s">
        <v>370</v>
      </c>
      <c r="D21" s="65" t="s">
        <v>330</v>
      </c>
      <c r="E21" s="65" t="s">
        <v>388</v>
      </c>
      <c r="F21" s="65" t="s">
        <v>389</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EF27802CF413941A4D5422B0C90D168" ma:contentTypeVersion="15" ma:contentTypeDescription="Create a new document." ma:contentTypeScope="" ma:versionID="5e9ac2124f743ba1337f6f9f76d3eabe">
  <xsd:schema xmlns:xsd="http://www.w3.org/2001/XMLSchema" xmlns:xs="http://www.w3.org/2001/XMLSchema" xmlns:p="http://schemas.microsoft.com/office/2006/metadata/properties" xmlns:ns1="http://schemas.microsoft.com/sharepoint/v3" xmlns:ns3="35e95db4-4974-4c4b-a207-d61f1a8b4feb" xmlns:ns4="a9c05a54-caf4-43b7-a357-d4d5df8964f2" targetNamespace="http://schemas.microsoft.com/office/2006/metadata/properties" ma:root="true" ma:fieldsID="700110c71730467f830c45dcb4b6a134" ns1:_="" ns3:_="" ns4:_="">
    <xsd:import namespace="http://schemas.microsoft.com/sharepoint/v3"/>
    <xsd:import namespace="35e95db4-4974-4c4b-a207-d61f1a8b4feb"/>
    <xsd:import namespace="a9c05a54-caf4-43b7-a357-d4d5df8964f2"/>
    <xsd:element name="properties">
      <xsd:complexType>
        <xsd:sequence>
          <xsd:element name="documentManagement">
            <xsd:complexType>
              <xsd:all>
                <xsd:element ref="ns3:MediaServiceMetadata" minOccurs="0"/>
                <xsd:element ref="ns3:MediaServiceFastMetadata"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AutoTags"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0" nillable="true" ma:displayName="Unified Compliance Policy Properties" ma:hidden="true" ma:internalName="_ip_UnifiedCompliancePolicyProperties">
      <xsd:simpleType>
        <xsd:restriction base="dms:Note"/>
      </xsd:simpleType>
    </xsd:element>
    <xsd:element name="_ip_UnifiedCompliancePolicyUIAction" ma:index="1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5e95db4-4974-4c4b-a207-d61f1a8b4f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ServiceDateTaken" ma:index="21" nillable="true" ma:displayName="MediaServiceDateTaken" ma:hidden="true" ma:internalName="MediaServiceDateTaken"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9c05a54-caf4-43b7-a357-d4d5df8964f2"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FE2E48F-8824-45D2-BF20-737BC8306B85}">
  <ds:schemaRefs>
    <ds:schemaRef ds:uri="http://schemas.microsoft.com/sharepoint/v3/contenttype/forms"/>
  </ds:schemaRefs>
</ds:datastoreItem>
</file>

<file path=customXml/itemProps2.xml><?xml version="1.0" encoding="utf-8"?>
<ds:datastoreItem xmlns:ds="http://schemas.openxmlformats.org/officeDocument/2006/customXml" ds:itemID="{8B7ED585-ABE5-4D32-A4FF-6A8EB4195FE7}">
  <ds:schemaRefs>
    <ds:schemaRef ds:uri="http://www.w3.org/XML/1998/namespace"/>
    <ds:schemaRef ds:uri="http://schemas.microsoft.com/sharepoint/v3"/>
    <ds:schemaRef ds:uri="http://purl.org/dc/dcmitype/"/>
    <ds:schemaRef ds:uri="http://schemas.microsoft.com/office/2006/documentManagement/types"/>
    <ds:schemaRef ds:uri="35e95db4-4974-4c4b-a207-d61f1a8b4feb"/>
    <ds:schemaRef ds:uri="http://purl.org/dc/terms/"/>
    <ds:schemaRef ds:uri="http://purl.org/dc/elements/1.1/"/>
    <ds:schemaRef ds:uri="http://schemas.microsoft.com/office/infopath/2007/PartnerControls"/>
    <ds:schemaRef ds:uri="a9c05a54-caf4-43b7-a357-d4d5df8964f2"/>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78EFEF13-9ECA-49E3-8DAA-CFFE43455E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5e95db4-4974-4c4b-a207-d61f1a8b4feb"/>
    <ds:schemaRef ds:uri="a9c05a54-caf4-43b7-a357-d4d5df8964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NOTICE OF EXPECTATIONS</vt:lpstr>
      <vt:lpstr>RESOURCES</vt:lpstr>
      <vt:lpstr>PAYER</vt:lpstr>
      <vt:lpstr>FIELD</vt:lpstr>
      <vt:lpstr>MBAE SOP</vt:lpstr>
      <vt:lpstr>LOAD</vt:lpstr>
      <vt:lpstr>NAME WORKSHEET</vt:lpstr>
      <vt:lpstr>STREET WORKSHEET</vt:lpstr>
      <vt:lpstr>CROSSDOCK</vt:lpstr>
      <vt:lpstr>VLOOKUP</vt:lpstr>
      <vt:lpstr>PARTNER</vt:lpstr>
      <vt:lpstr>TIME</vt:lpstr>
      <vt:lpstr>Adding GEO Data</vt:lpstr>
      <vt:lpstr>FINAL CHECKLIST</vt:lpstr>
      <vt:lpstr>NEW ACCTS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Carine-Lisa Dolan</dc:creator>
  <cp:lastModifiedBy>Greene, Maggie</cp:lastModifiedBy>
  <cp:lastPrinted>2019-08-12T19:05:04Z</cp:lastPrinted>
  <dcterms:created xsi:type="dcterms:W3CDTF">2016-10-12T19:51:32Z</dcterms:created>
  <dcterms:modified xsi:type="dcterms:W3CDTF">2022-12-23T03:39:43Z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ATIntVersion">
    <vt:i4>15</vt:i4>
  </property>
  <property fmtid="{D5CDD505-2E9C-101B-9397-08002B2CF9AE}" pid="3" name="FILEGUID">
    <vt:lpwstr>408f285d-1a7f-466c-bee9-aab2dcec8408</vt:lpwstr>
  </property>
  <property fmtid="{D5CDD505-2E9C-101B-9397-08002B2CF9AE}" pid="4" name="MODFILEGUID">
    <vt:lpwstr>e923b6e6-13bb-4acc-b856-a97724db38e3</vt:lpwstr>
  </property>
  <property fmtid="{D5CDD505-2E9C-101B-9397-08002B2CF9AE}" pid="5" name="FILEOWNER">
    <vt:lpwstr/>
  </property>
  <property fmtid="{D5CDD505-2E9C-101B-9397-08002B2CF9AE}" pid="6" name="MODFILEOWNER">
    <vt:lpwstr>A17649</vt:lpwstr>
  </property>
  <property fmtid="{D5CDD505-2E9C-101B-9397-08002B2CF9AE}" pid="7" name="IPPCLASS">
    <vt:i4>1</vt:i4>
  </property>
  <property fmtid="{D5CDD505-2E9C-101B-9397-08002B2CF9AE}" pid="8" name="MODIPPCLASS">
    <vt:i4>1</vt:i4>
  </property>
  <property fmtid="{D5CDD505-2E9C-101B-9397-08002B2CF9AE}" pid="9" name="MACHINEID">
    <vt:lpwstr>NT000057-W8TG2</vt:lpwstr>
  </property>
  <property fmtid="{D5CDD505-2E9C-101B-9397-08002B2CF9AE}" pid="10" name="MODMACHINEID">
    <vt:lpwstr>A17649-0497</vt:lpwstr>
  </property>
  <property fmtid="{D5CDD505-2E9C-101B-9397-08002B2CF9AE}" pid="11" name="CURRENTCLASS">
    <vt:lpwstr>Classified - No Category</vt:lpwstr>
  </property>
  <property fmtid="{D5CDD505-2E9C-101B-9397-08002B2CF9AE}" pid="12" name="ContentTypeId">
    <vt:lpwstr>0x010100DEF27802CF413941A4D5422B0C90D168</vt:lpwstr>
  </property>
</Properties>
</file>